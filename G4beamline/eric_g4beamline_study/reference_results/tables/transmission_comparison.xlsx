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4160" yWindow="5720" windowWidth="35880" windowHeight="23820" tabRatio="500"/>
  </bookViews>
  <sheets>
    <sheet name="Tranmission" sheetId="2" r:id="rId1"/>
    <sheet name="mu2e_a50_fat_1-col.csv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  <c r="E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<sst xmlns="http://schemas.openxmlformats.org/spreadsheetml/2006/main" count="10" uniqueCount="9">
  <si>
    <t>deltaTheta</t>
  </si>
  <si>
    <t xml:space="preserve"> numTot</t>
  </si>
  <si>
    <t xml:space="preserve"> numEnd</t>
  </si>
  <si>
    <t xml:space="preserve"> numHit</t>
  </si>
  <si>
    <t>Transmission</t>
  </si>
  <si>
    <t>new NumTot</t>
  </si>
  <si>
    <t>ne NumEnd</t>
  </si>
  <si>
    <t>New NumHit</t>
  </si>
  <si>
    <t>New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</si>
</sst>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8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'mu2e_a50_fat_1-col.csv'!$E$1</c:f>
              <c:strCache>
                <c:ptCount val="1"/>
                <c:pt idx="0">
                  <c:v>Transmission</c:v>
                </c:pt>
              </c:strCache>
            </c:strRef>
          </c:tx>
          <c:marker>
            <c:symbol val="none"/>
          </c:marker>
          <c:xVal>
            <c:numRef>
              <c:f>'mu2e_a50_fat_1-col.csv'!$A$2:$A$37</c:f>
              <c:numCache>
                <c:formatCode>General</c:formatCode>
                <c:ptCount val="36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3.0</c:v>
                </c:pt>
                <c:pt idx="27">
                  <c:v>4.0</c:v>
                </c:pt>
                <c:pt idx="28">
                  <c:v>5.0</c:v>
                </c:pt>
                <c:pt idx="29">
                  <c:v>6.0</c:v>
                </c:pt>
                <c:pt idx="30">
                  <c:v>7.0</c:v>
                </c:pt>
                <c:pt idx="31">
                  <c:v>8.0</c:v>
                </c:pt>
                <c:pt idx="32">
                  <c:v>9.0</c:v>
                </c:pt>
                <c:pt idx="33">
                  <c:v>10.0</c:v>
                </c:pt>
                <c:pt idx="34">
                  <c:v>11.0</c:v>
                </c:pt>
                <c:pt idx="35">
                  <c:v>12.0</c:v>
                </c:pt>
              </c:numCache>
            </c:numRef>
          </c:xVal>
          <c:yVal>
            <c:numRef>
              <c:f>'mu2e_a50_fat_1-col.csv'!$E$2:$E$37</c:f>
              <c:numCache>
                <c:formatCode>0.00E+00</c:formatCode>
                <c:ptCount val="36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0.986</c:v>
                </c:pt>
                <c:pt idx="4">
                  <c:v>0.9376</c:v>
                </c:pt>
                <c:pt idx="5">
                  <c:v>0.8802</c:v>
                </c:pt>
                <c:pt idx="6">
                  <c:v>0.8054</c:v>
                </c:pt>
                <c:pt idx="7">
                  <c:v>0.7406</c:v>
                </c:pt>
                <c:pt idx="8">
                  <c:v>0.6646</c:v>
                </c:pt>
                <c:pt idx="9">
                  <c:v>0.5888</c:v>
                </c:pt>
                <c:pt idx="10">
                  <c:v>0.5</c:v>
                </c:pt>
                <c:pt idx="11">
                  <c:v>0.422</c:v>
                </c:pt>
                <c:pt idx="12">
                  <c:v>0.3466</c:v>
                </c:pt>
                <c:pt idx="13">
                  <c:v>0.2722</c:v>
                </c:pt>
                <c:pt idx="14">
                  <c:v>0.1999</c:v>
                </c:pt>
                <c:pt idx="15">
                  <c:v>0.1359</c:v>
                </c:pt>
                <c:pt idx="16">
                  <c:v>0.08032</c:v>
                </c:pt>
                <c:pt idx="17">
                  <c:v>0.03544</c:v>
                </c:pt>
                <c:pt idx="18">
                  <c:v>0.0060426</c:v>
                </c:pt>
                <c:pt idx="19">
                  <c:v>2.66E-6</c:v>
                </c:pt>
                <c:pt idx="20">
                  <c:v>4.3E-7</c:v>
                </c:pt>
                <c:pt idx="21">
                  <c:v>1.6E-7</c:v>
                </c:pt>
                <c:pt idx="22">
                  <c:v>1.1E-7</c:v>
                </c:pt>
                <c:pt idx="23">
                  <c:v>5E-8</c:v>
                </c:pt>
                <c:pt idx="24">
                  <c:v>5E-8</c:v>
                </c:pt>
                <c:pt idx="25">
                  <c:v>5E-8</c:v>
                </c:pt>
                <c:pt idx="26">
                  <c:v>5E-8</c:v>
                </c:pt>
                <c:pt idx="27">
                  <c:v>5E-8</c:v>
                </c:pt>
                <c:pt idx="28">
                  <c:v>5E-8</c:v>
                </c:pt>
                <c:pt idx="29">
                  <c:v>5E-8</c:v>
                </c:pt>
                <c:pt idx="30">
                  <c:v>5E-8</c:v>
                </c:pt>
                <c:pt idx="31">
                  <c:v>5E-8</c:v>
                </c:pt>
                <c:pt idx="32">
                  <c:v>5E-8</c:v>
                </c:pt>
                <c:pt idx="33">
                  <c:v>5E-8</c:v>
                </c:pt>
                <c:pt idx="34">
                  <c:v>5E-8</c:v>
                </c:pt>
                <c:pt idx="35">
                  <c:v>5E-8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'mu2e_a50_fat_1-col.csv'!$J$1</c:f>
              <c:strCache>
                <c:ptCount val="1"/>
                <c:pt idx="0">
                  <c:v>New Transmission</c:v>
                </c:pt>
              </c:strCache>
            </c:strRef>
          </c:tx>
          <c:marker>
            <c:symbol val="none"/>
          </c:marker>
          <c:xVal>
            <c:numRef>
              <c:f>'mu2e_a50_fat_1-col.csv'!$F$2:$F$39</c:f>
              <c:numCache>
                <c:formatCode>General</c:formatCode>
                <c:ptCount val="38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4.0</c:v>
                </c:pt>
                <c:pt idx="32">
                  <c:v>5.0</c:v>
                </c:pt>
                <c:pt idx="33">
                  <c:v>6.0</c:v>
                </c:pt>
                <c:pt idx="34">
                  <c:v>7.0</c:v>
                </c:pt>
                <c:pt idx="35">
                  <c:v>8.0</c:v>
                </c:pt>
                <c:pt idx="36">
                  <c:v>9.0</c:v>
                </c:pt>
                <c:pt idx="37">
                  <c:v>10.0</c:v>
                </c:pt>
              </c:numCache>
            </c:numRef>
          </c:xVal>
          <c:yVal>
            <c:numRef>
              <c:f>'mu2e_a50_fat_1-col.csv'!$J$2:$J$37</c:f>
              <c:numCache>
                <c:formatCode>0.00E+00</c:formatCode>
                <c:ptCount val="36"/>
                <c:pt idx="0">
                  <c:v>1.0</c:v>
                </c:pt>
                <c:pt idx="1">
                  <c:v>1.0</c:v>
                </c:pt>
                <c:pt idx="2">
                  <c:v>0.991</c:v>
                </c:pt>
                <c:pt idx="3">
                  <c:v>0.951</c:v>
                </c:pt>
                <c:pt idx="4">
                  <c:v>0.888</c:v>
                </c:pt>
                <c:pt idx="5">
                  <c:v>0.822</c:v>
                </c:pt>
                <c:pt idx="6">
                  <c:v>0.754</c:v>
                </c:pt>
                <c:pt idx="7">
                  <c:v>0.6825</c:v>
                </c:pt>
                <c:pt idx="8">
                  <c:v>0.6195</c:v>
                </c:pt>
                <c:pt idx="9">
                  <c:v>0.543</c:v>
                </c:pt>
                <c:pt idx="10">
                  <c:v>0.4675</c:v>
                </c:pt>
                <c:pt idx="11">
                  <c:v>0.3812</c:v>
                </c:pt>
                <c:pt idx="12">
                  <c:v>0.3096</c:v>
                </c:pt>
                <c:pt idx="13">
                  <c:v>0.2354</c:v>
                </c:pt>
                <c:pt idx="14">
                  <c:v>0.169</c:v>
                </c:pt>
                <c:pt idx="15">
                  <c:v>0.1126</c:v>
                </c:pt>
                <c:pt idx="16">
                  <c:v>0.0599</c:v>
                </c:pt>
                <c:pt idx="17">
                  <c:v>0.0179</c:v>
                </c:pt>
                <c:pt idx="18">
                  <c:v>5.15400938029707E-5</c:v>
                </c:pt>
                <c:pt idx="19">
                  <c:v>6.3800117392216E-6</c:v>
                </c:pt>
                <c:pt idx="20">
                  <c:v>7.0000128800237E-8</c:v>
                </c:pt>
                <c:pt idx="21">
                  <c:v>5E-8</c:v>
                </c:pt>
                <c:pt idx="22">
                  <c:v>5E-8</c:v>
                </c:pt>
                <c:pt idx="23">
                  <c:v>5E-8</c:v>
                </c:pt>
                <c:pt idx="24">
                  <c:v>5E-8</c:v>
                </c:pt>
                <c:pt idx="25">
                  <c:v>5E-8</c:v>
                </c:pt>
                <c:pt idx="26">
                  <c:v>5E-8</c:v>
                </c:pt>
                <c:pt idx="27">
                  <c:v>5E-8</c:v>
                </c:pt>
                <c:pt idx="28">
                  <c:v>5E-8</c:v>
                </c:pt>
                <c:pt idx="29">
                  <c:v>5E-8</c:v>
                </c:pt>
                <c:pt idx="30">
                  <c:v>5E-8</c:v>
                </c:pt>
                <c:pt idx="31">
                  <c:v>5E-8</c:v>
                </c:pt>
                <c:pt idx="32">
                  <c:v>5E-8</c:v>
                </c:pt>
                <c:pt idx="33">
                  <c:v>5E-8</c:v>
                </c:pt>
                <c:pt idx="34">
                  <c:v>5E-8</c:v>
                </c:pt>
                <c:pt idx="35">
                  <c:v>5E-8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063048"/>
        <c:axId val="2121068520"/>
      </c:scatterChart>
      <c:valAx>
        <c:axId val="2121063048"/>
        <c:scaling>
          <c:orientation val="minMax"/>
          <c:max val="5.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Deflection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1068520"/>
        <c:crossesAt val="1.0E-8"/>
        <c:crossBetween val="midCat"/>
      </c:valAx>
      <c:valAx>
        <c:axId val="2121068520"/>
        <c:scaling>
          <c:logBase val="10.0"/>
          <c:orientation val="minMax"/>
          <c:min val="1.0E-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Transmission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21210630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167172864589"/>
          <c:y val="0.323525256456638"/>
          <c:w val="0.157075760865028"/>
          <c:h val="0.0874611864473619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211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7014" cy="58323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J2" sqref="J2:J39"/>
    </sheetView>
  </sheetViews>
  <sheetFormatPr baseColWidth="10" defaultRowHeight="15" x14ac:dyDescent="0"/>
  <cols>
    <col min="5" max="5" width="12.1640625" bestFit="1" customWidth="1"/>
    <col min="6" max="6" width="12.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1000</v>
      </c>
      <c r="C2">
        <v>1000</v>
      </c>
      <c r="D2">
        <v>1000</v>
      </c>
      <c r="E2" s="1">
        <f>$D2/$B2</f>
        <v>1</v>
      </c>
      <c r="F2">
        <v>0</v>
      </c>
      <c r="G2">
        <v>1000</v>
      </c>
      <c r="H2">
        <v>1000</v>
      </c>
      <c r="I2">
        <v>1000</v>
      </c>
      <c r="J2" s="1">
        <f>MAX(I2/G2,0.00000005)</f>
        <v>1</v>
      </c>
    </row>
    <row r="3" spans="1:10">
      <c r="A3">
        <v>0.1</v>
      </c>
      <c r="B3">
        <v>1000</v>
      </c>
      <c r="C3">
        <v>1000</v>
      </c>
      <c r="D3">
        <v>1000</v>
      </c>
      <c r="E3" s="1">
        <f t="shared" ref="E3:E24" si="0">$D3/$B3</f>
        <v>1</v>
      </c>
      <c r="F3">
        <v>0.1</v>
      </c>
      <c r="G3">
        <v>2000</v>
      </c>
      <c r="H3">
        <v>2000</v>
      </c>
      <c r="I3">
        <v>2000</v>
      </c>
      <c r="J3" s="1">
        <f t="shared" ref="J3:J39" si="1">MAX(I3/G3,0.00000005)</f>
        <v>1</v>
      </c>
    </row>
    <row r="4" spans="1:10">
      <c r="A4">
        <v>0.2</v>
      </c>
      <c r="B4">
        <v>5000</v>
      </c>
      <c r="C4">
        <v>5000</v>
      </c>
      <c r="D4">
        <v>5000</v>
      </c>
      <c r="E4" s="1">
        <f t="shared" si="0"/>
        <v>1</v>
      </c>
      <c r="F4">
        <v>0.2</v>
      </c>
      <c r="G4">
        <v>2000</v>
      </c>
      <c r="H4">
        <v>1982</v>
      </c>
      <c r="I4">
        <v>1982</v>
      </c>
      <c r="J4" s="1">
        <f t="shared" si="1"/>
        <v>0.99099999999999999</v>
      </c>
    </row>
    <row r="5" spans="1:10">
      <c r="A5">
        <v>0.3</v>
      </c>
      <c r="B5">
        <v>5000</v>
      </c>
      <c r="C5">
        <v>4930</v>
      </c>
      <c r="D5">
        <v>4930</v>
      </c>
      <c r="E5" s="1">
        <f t="shared" si="0"/>
        <v>0.98599999999999999</v>
      </c>
      <c r="F5">
        <v>0.3</v>
      </c>
      <c r="G5">
        <v>2000</v>
      </c>
      <c r="H5">
        <v>1903</v>
      </c>
      <c r="I5">
        <v>1902</v>
      </c>
      <c r="J5" s="1">
        <f t="shared" si="1"/>
        <v>0.95099999999999996</v>
      </c>
    </row>
    <row r="6" spans="1:10">
      <c r="A6">
        <v>0.4</v>
      </c>
      <c r="B6">
        <v>5000</v>
      </c>
      <c r="C6">
        <v>4690</v>
      </c>
      <c r="D6">
        <v>4688</v>
      </c>
      <c r="E6" s="1">
        <f t="shared" si="0"/>
        <v>0.93759999999999999</v>
      </c>
      <c r="F6">
        <v>0.4</v>
      </c>
      <c r="G6">
        <v>2000</v>
      </c>
      <c r="H6">
        <v>1777</v>
      </c>
      <c r="I6">
        <v>1776</v>
      </c>
      <c r="J6" s="1">
        <f t="shared" si="1"/>
        <v>0.88800000000000001</v>
      </c>
    </row>
    <row r="7" spans="1:10">
      <c r="A7">
        <v>0.5</v>
      </c>
      <c r="B7">
        <v>5000</v>
      </c>
      <c r="C7">
        <v>4403</v>
      </c>
      <c r="D7">
        <v>4401</v>
      </c>
      <c r="E7" s="1">
        <f t="shared" si="0"/>
        <v>0.88019999999999998</v>
      </c>
      <c r="F7">
        <v>0.5</v>
      </c>
      <c r="G7">
        <v>2000</v>
      </c>
      <c r="H7">
        <v>1649</v>
      </c>
      <c r="I7">
        <v>1644</v>
      </c>
      <c r="J7" s="1">
        <f t="shared" si="1"/>
        <v>0.82199999999999995</v>
      </c>
    </row>
    <row r="8" spans="1:10">
      <c r="A8">
        <v>0.6</v>
      </c>
      <c r="B8">
        <v>5000</v>
      </c>
      <c r="C8">
        <v>4031</v>
      </c>
      <c r="D8">
        <v>4027</v>
      </c>
      <c r="E8" s="1">
        <f t="shared" si="0"/>
        <v>0.8054</v>
      </c>
      <c r="F8">
        <v>0.6</v>
      </c>
      <c r="G8">
        <v>2000</v>
      </c>
      <c r="H8">
        <v>1515</v>
      </c>
      <c r="I8">
        <v>1508</v>
      </c>
      <c r="J8" s="1">
        <f t="shared" si="1"/>
        <v>0.754</v>
      </c>
    </row>
    <row r="9" spans="1:10">
      <c r="A9">
        <v>0.7</v>
      </c>
      <c r="B9">
        <v>5000</v>
      </c>
      <c r="C9">
        <v>3707</v>
      </c>
      <c r="D9">
        <v>3703</v>
      </c>
      <c r="E9" s="1">
        <f t="shared" si="0"/>
        <v>0.74060000000000004</v>
      </c>
      <c r="F9">
        <v>0.7</v>
      </c>
      <c r="G9">
        <v>2000</v>
      </c>
      <c r="H9">
        <v>1368</v>
      </c>
      <c r="I9">
        <v>1365</v>
      </c>
      <c r="J9" s="1">
        <f t="shared" si="1"/>
        <v>0.6825</v>
      </c>
    </row>
    <row r="10" spans="1:10">
      <c r="A10">
        <v>0.8</v>
      </c>
      <c r="B10">
        <v>5000</v>
      </c>
      <c r="C10">
        <v>3325</v>
      </c>
      <c r="D10">
        <v>3323</v>
      </c>
      <c r="E10" s="1">
        <f t="shared" si="0"/>
        <v>0.66459999999999997</v>
      </c>
      <c r="F10">
        <v>0.8</v>
      </c>
      <c r="G10">
        <v>2000</v>
      </c>
      <c r="H10">
        <v>1242</v>
      </c>
      <c r="I10">
        <v>1239</v>
      </c>
      <c r="J10" s="1">
        <f t="shared" si="1"/>
        <v>0.61950000000000005</v>
      </c>
    </row>
    <row r="11" spans="1:10">
      <c r="A11">
        <v>0.9</v>
      </c>
      <c r="B11">
        <v>5000</v>
      </c>
      <c r="C11">
        <v>2955</v>
      </c>
      <c r="D11">
        <v>2944</v>
      </c>
      <c r="E11" s="1">
        <f t="shared" si="0"/>
        <v>0.58879999999999999</v>
      </c>
      <c r="F11">
        <v>0.9</v>
      </c>
      <c r="G11">
        <v>2000</v>
      </c>
      <c r="H11">
        <v>1094</v>
      </c>
      <c r="I11">
        <v>1086</v>
      </c>
      <c r="J11" s="1">
        <f t="shared" si="1"/>
        <v>0.54300000000000004</v>
      </c>
    </row>
    <row r="12" spans="1:10">
      <c r="A12">
        <v>1</v>
      </c>
      <c r="B12">
        <v>5000</v>
      </c>
      <c r="C12">
        <v>2507</v>
      </c>
      <c r="D12">
        <v>2500</v>
      </c>
      <c r="E12" s="1">
        <f t="shared" si="0"/>
        <v>0.5</v>
      </c>
      <c r="F12">
        <v>1</v>
      </c>
      <c r="G12">
        <v>2000</v>
      </c>
      <c r="H12">
        <v>943</v>
      </c>
      <c r="I12">
        <v>935</v>
      </c>
      <c r="J12" s="1">
        <f t="shared" si="1"/>
        <v>0.46750000000000003</v>
      </c>
    </row>
    <row r="13" spans="1:10">
      <c r="A13">
        <v>1.1000000000000001</v>
      </c>
      <c r="B13">
        <v>5000</v>
      </c>
      <c r="C13">
        <v>2117</v>
      </c>
      <c r="D13">
        <v>2110</v>
      </c>
      <c r="E13" s="1">
        <f t="shared" si="0"/>
        <v>0.42199999999999999</v>
      </c>
      <c r="F13">
        <v>1.1000000000000001</v>
      </c>
      <c r="G13">
        <v>5000</v>
      </c>
      <c r="H13">
        <v>1932</v>
      </c>
      <c r="I13">
        <v>1906</v>
      </c>
      <c r="J13" s="1">
        <f t="shared" si="1"/>
        <v>0.38119999999999998</v>
      </c>
    </row>
    <row r="14" spans="1:10">
      <c r="A14">
        <v>1.2</v>
      </c>
      <c r="B14">
        <v>5000</v>
      </c>
      <c r="C14">
        <v>1743</v>
      </c>
      <c r="D14">
        <v>1733</v>
      </c>
      <c r="E14" s="1">
        <f t="shared" si="0"/>
        <v>0.34660000000000002</v>
      </c>
      <c r="F14">
        <v>1.2</v>
      </c>
      <c r="G14">
        <v>5000</v>
      </c>
      <c r="H14">
        <v>1566</v>
      </c>
      <c r="I14">
        <v>1548</v>
      </c>
      <c r="J14" s="1">
        <f t="shared" si="1"/>
        <v>0.30959999999999999</v>
      </c>
    </row>
    <row r="15" spans="1:10">
      <c r="A15">
        <v>1.3</v>
      </c>
      <c r="B15">
        <v>5000</v>
      </c>
      <c r="C15">
        <v>1365</v>
      </c>
      <c r="D15">
        <v>1361</v>
      </c>
      <c r="E15" s="1">
        <f t="shared" si="0"/>
        <v>0.2722</v>
      </c>
      <c r="F15">
        <v>1.3</v>
      </c>
      <c r="G15">
        <v>5000</v>
      </c>
      <c r="H15">
        <v>1197</v>
      </c>
      <c r="I15">
        <v>1177</v>
      </c>
      <c r="J15" s="1">
        <f t="shared" si="1"/>
        <v>0.2354</v>
      </c>
    </row>
    <row r="16" spans="1:10">
      <c r="A16">
        <v>1.4</v>
      </c>
      <c r="B16">
        <v>10000</v>
      </c>
      <c r="C16">
        <v>2005</v>
      </c>
      <c r="D16">
        <v>1999</v>
      </c>
      <c r="E16" s="1">
        <f t="shared" si="0"/>
        <v>0.19989999999999999</v>
      </c>
      <c r="F16">
        <v>1.4</v>
      </c>
      <c r="G16">
        <v>5000</v>
      </c>
      <c r="H16">
        <v>870</v>
      </c>
      <c r="I16">
        <v>845</v>
      </c>
      <c r="J16" s="1">
        <f t="shared" si="1"/>
        <v>0.16900000000000001</v>
      </c>
    </row>
    <row r="17" spans="1:10">
      <c r="A17">
        <v>1.5</v>
      </c>
      <c r="B17">
        <v>10000</v>
      </c>
      <c r="C17">
        <v>1373</v>
      </c>
      <c r="D17">
        <v>1359</v>
      </c>
      <c r="E17" s="1">
        <f t="shared" si="0"/>
        <v>0.13589999999999999</v>
      </c>
      <c r="F17">
        <v>1.5</v>
      </c>
      <c r="G17">
        <v>10000</v>
      </c>
      <c r="H17">
        <v>1161</v>
      </c>
      <c r="I17">
        <v>1126</v>
      </c>
      <c r="J17" s="1">
        <f t="shared" si="1"/>
        <v>0.11260000000000001</v>
      </c>
    </row>
    <row r="18" spans="1:10">
      <c r="A18">
        <v>1.6</v>
      </c>
      <c r="B18">
        <v>50000</v>
      </c>
      <c r="C18">
        <v>4057</v>
      </c>
      <c r="D18">
        <v>4016</v>
      </c>
      <c r="E18" s="1">
        <f t="shared" si="0"/>
        <v>8.0320000000000003E-2</v>
      </c>
      <c r="F18">
        <v>1.6</v>
      </c>
      <c r="G18">
        <v>20000</v>
      </c>
      <c r="H18">
        <v>1276</v>
      </c>
      <c r="I18">
        <v>1198</v>
      </c>
      <c r="J18" s="1">
        <f t="shared" si="1"/>
        <v>5.9900000000000002E-2</v>
      </c>
    </row>
    <row r="19" spans="1:10">
      <c r="A19">
        <v>1.7</v>
      </c>
      <c r="B19">
        <v>100000</v>
      </c>
      <c r="C19">
        <v>3624</v>
      </c>
      <c r="D19">
        <v>3544</v>
      </c>
      <c r="E19" s="1">
        <f t="shared" si="0"/>
        <v>3.5439999999999999E-2</v>
      </c>
      <c r="F19">
        <v>1.7</v>
      </c>
      <c r="G19">
        <v>50000</v>
      </c>
      <c r="H19">
        <v>1028</v>
      </c>
      <c r="I19">
        <v>895</v>
      </c>
      <c r="J19" s="1">
        <f t="shared" si="1"/>
        <v>1.7899999999999999E-2</v>
      </c>
    </row>
    <row r="20" spans="1:10">
      <c r="A20">
        <v>1.8</v>
      </c>
      <c r="B20">
        <v>100000000</v>
      </c>
      <c r="C20">
        <v>738532</v>
      </c>
      <c r="D20">
        <v>604260</v>
      </c>
      <c r="E20" s="1">
        <f t="shared" si="0"/>
        <v>6.0426000000000004E-3</v>
      </c>
      <c r="F20">
        <v>1.8</v>
      </c>
      <c r="G20">
        <v>99999818</v>
      </c>
      <c r="H20">
        <v>202424</v>
      </c>
      <c r="I20">
        <v>5154</v>
      </c>
      <c r="J20" s="1">
        <f t="shared" si="1"/>
        <v>5.1540093802970719E-5</v>
      </c>
    </row>
    <row r="21" spans="1:10">
      <c r="A21">
        <v>1.9</v>
      </c>
      <c r="B21">
        <v>100000000</v>
      </c>
      <c r="C21">
        <v>16430</v>
      </c>
      <c r="D21">
        <v>266</v>
      </c>
      <c r="E21" s="1">
        <f t="shared" si="0"/>
        <v>2.6599999999999999E-6</v>
      </c>
      <c r="F21">
        <v>1.9</v>
      </c>
      <c r="G21">
        <v>99999816</v>
      </c>
      <c r="H21">
        <v>39430</v>
      </c>
      <c r="I21">
        <v>638</v>
      </c>
      <c r="J21" s="1">
        <f t="shared" si="1"/>
        <v>6.3800117392216002E-6</v>
      </c>
    </row>
    <row r="22" spans="1:10">
      <c r="A22">
        <v>2</v>
      </c>
      <c r="B22">
        <v>100000000</v>
      </c>
      <c r="C22">
        <v>2540</v>
      </c>
      <c r="D22">
        <v>43</v>
      </c>
      <c r="E22" s="1">
        <f t="shared" si="0"/>
        <v>4.3000000000000001E-7</v>
      </c>
      <c r="F22">
        <v>2</v>
      </c>
      <c r="G22">
        <v>99999816</v>
      </c>
      <c r="H22">
        <v>3034</v>
      </c>
      <c r="I22">
        <v>7</v>
      </c>
      <c r="J22" s="1">
        <f t="shared" si="1"/>
        <v>7.000012880023699E-8</v>
      </c>
    </row>
    <row r="23" spans="1:10">
      <c r="A23">
        <v>2.1</v>
      </c>
      <c r="B23">
        <v>100000000</v>
      </c>
      <c r="C23">
        <v>932</v>
      </c>
      <c r="D23">
        <v>16</v>
      </c>
      <c r="E23" s="1">
        <f t="shared" si="0"/>
        <v>1.6E-7</v>
      </c>
      <c r="F23">
        <v>2.1</v>
      </c>
      <c r="G23">
        <v>99999815</v>
      </c>
      <c r="H23">
        <v>986</v>
      </c>
      <c r="I23">
        <v>0</v>
      </c>
      <c r="J23" s="1">
        <f t="shared" si="1"/>
        <v>4.9999999999999998E-8</v>
      </c>
    </row>
    <row r="24" spans="1:10">
      <c r="A24">
        <v>2.2000000000000002</v>
      </c>
      <c r="B24">
        <v>100000000</v>
      </c>
      <c r="C24">
        <v>435</v>
      </c>
      <c r="D24">
        <v>11</v>
      </c>
      <c r="E24" s="1">
        <f t="shared" si="0"/>
        <v>1.1000000000000001E-7</v>
      </c>
      <c r="F24">
        <v>2.2000000000000002</v>
      </c>
      <c r="G24">
        <v>99999819</v>
      </c>
      <c r="H24">
        <v>360</v>
      </c>
      <c r="I24">
        <v>0</v>
      </c>
      <c r="J24" s="1">
        <f t="shared" si="1"/>
        <v>4.9999999999999998E-8</v>
      </c>
    </row>
    <row r="25" spans="1:10">
      <c r="A25">
        <v>2.2999999999999998</v>
      </c>
      <c r="B25">
        <v>100000000</v>
      </c>
      <c r="C25">
        <v>230</v>
      </c>
      <c r="D25">
        <v>4</v>
      </c>
      <c r="E25" s="1">
        <v>4.9999999999999998E-8</v>
      </c>
      <c r="F25">
        <v>2.2999999999999998</v>
      </c>
      <c r="G25">
        <v>99999815</v>
      </c>
      <c r="H25">
        <v>161</v>
      </c>
      <c r="I25">
        <v>0</v>
      </c>
      <c r="J25" s="1">
        <f t="shared" si="1"/>
        <v>4.9999999999999998E-8</v>
      </c>
    </row>
    <row r="26" spans="1:10">
      <c r="A26">
        <v>2.4</v>
      </c>
      <c r="B26">
        <v>100000000</v>
      </c>
      <c r="C26">
        <v>143</v>
      </c>
      <c r="D26">
        <v>5</v>
      </c>
      <c r="E26" s="1">
        <v>4.9999999999999998E-8</v>
      </c>
      <c r="F26">
        <v>2.4</v>
      </c>
      <c r="G26">
        <v>99999818</v>
      </c>
      <c r="H26">
        <v>99</v>
      </c>
      <c r="I26">
        <v>1</v>
      </c>
      <c r="J26" s="1">
        <f t="shared" si="1"/>
        <v>4.9999999999999998E-8</v>
      </c>
    </row>
    <row r="27" spans="1:10">
      <c r="A27">
        <v>2.5</v>
      </c>
      <c r="B27">
        <v>100000000</v>
      </c>
      <c r="C27">
        <v>103</v>
      </c>
      <c r="D27">
        <v>5</v>
      </c>
      <c r="E27" s="1">
        <v>4.9999999999999998E-8</v>
      </c>
      <c r="F27">
        <v>2.5</v>
      </c>
      <c r="G27">
        <v>99999814</v>
      </c>
      <c r="H27">
        <v>47</v>
      </c>
      <c r="I27">
        <v>0</v>
      </c>
      <c r="J27" s="1">
        <f t="shared" si="1"/>
        <v>4.9999999999999998E-8</v>
      </c>
    </row>
    <row r="28" spans="1:10">
      <c r="A28">
        <v>3</v>
      </c>
      <c r="B28">
        <v>100000000</v>
      </c>
      <c r="C28">
        <v>31</v>
      </c>
      <c r="D28">
        <v>1</v>
      </c>
      <c r="E28" s="1">
        <v>4.9999999999999998E-8</v>
      </c>
      <c r="F28">
        <v>2.6</v>
      </c>
      <c r="G28">
        <v>99999814</v>
      </c>
      <c r="H28">
        <v>28</v>
      </c>
      <c r="I28">
        <v>0</v>
      </c>
      <c r="J28" s="1">
        <f t="shared" si="1"/>
        <v>4.9999999999999998E-8</v>
      </c>
    </row>
    <row r="29" spans="1:10">
      <c r="A29">
        <v>4</v>
      </c>
      <c r="B29">
        <v>100000000</v>
      </c>
      <c r="C29">
        <v>15</v>
      </c>
      <c r="D29">
        <v>5</v>
      </c>
      <c r="E29" s="1">
        <v>4.9999999999999998E-8</v>
      </c>
      <c r="F29">
        <v>2.7</v>
      </c>
      <c r="G29">
        <v>99999831</v>
      </c>
      <c r="H29">
        <v>20</v>
      </c>
      <c r="I29">
        <v>0</v>
      </c>
      <c r="J29" s="1">
        <f t="shared" si="1"/>
        <v>4.9999999999999998E-8</v>
      </c>
    </row>
    <row r="30" spans="1:10">
      <c r="A30">
        <v>5</v>
      </c>
      <c r="B30">
        <v>100000000</v>
      </c>
      <c r="C30">
        <v>6</v>
      </c>
      <c r="D30">
        <v>2</v>
      </c>
      <c r="E30" s="1">
        <v>4.9999999999999998E-8</v>
      </c>
      <c r="F30">
        <v>2.8</v>
      </c>
      <c r="G30">
        <v>99999823</v>
      </c>
      <c r="H30">
        <v>13</v>
      </c>
      <c r="I30">
        <v>0</v>
      </c>
      <c r="J30" s="1">
        <f t="shared" si="1"/>
        <v>4.9999999999999998E-8</v>
      </c>
    </row>
    <row r="31" spans="1:10">
      <c r="A31">
        <v>6</v>
      </c>
      <c r="B31">
        <v>100000000</v>
      </c>
      <c r="C31">
        <v>9</v>
      </c>
      <c r="D31">
        <v>5</v>
      </c>
      <c r="E31" s="1">
        <v>4.9999999999999998E-8</v>
      </c>
      <c r="F31">
        <v>2.9</v>
      </c>
      <c r="G31">
        <v>99999823</v>
      </c>
      <c r="H31">
        <v>9</v>
      </c>
      <c r="I31">
        <v>0</v>
      </c>
      <c r="J31" s="1">
        <f t="shared" si="1"/>
        <v>4.9999999999999998E-8</v>
      </c>
    </row>
    <row r="32" spans="1:10">
      <c r="A32">
        <v>7</v>
      </c>
      <c r="B32">
        <v>100000000</v>
      </c>
      <c r="C32">
        <v>4</v>
      </c>
      <c r="D32">
        <v>1</v>
      </c>
      <c r="E32" s="1">
        <v>4.9999999999999998E-8</v>
      </c>
      <c r="F32">
        <v>3</v>
      </c>
      <c r="G32">
        <v>99999819</v>
      </c>
      <c r="H32">
        <v>0</v>
      </c>
      <c r="I32">
        <v>0</v>
      </c>
      <c r="J32" s="1">
        <f t="shared" si="1"/>
        <v>4.9999999999999998E-8</v>
      </c>
    </row>
    <row r="33" spans="1:10">
      <c r="A33">
        <v>8</v>
      </c>
      <c r="B33">
        <v>100000000</v>
      </c>
      <c r="C33">
        <v>21</v>
      </c>
      <c r="D33">
        <v>5</v>
      </c>
      <c r="E33" s="1">
        <v>4.9999999999999998E-8</v>
      </c>
      <c r="F33">
        <v>4</v>
      </c>
      <c r="G33">
        <v>99999823</v>
      </c>
      <c r="H33">
        <v>3</v>
      </c>
      <c r="I33">
        <v>1</v>
      </c>
      <c r="J33" s="1">
        <f t="shared" si="1"/>
        <v>4.9999999999999998E-8</v>
      </c>
    </row>
    <row r="34" spans="1:10">
      <c r="A34">
        <v>9</v>
      </c>
      <c r="B34">
        <v>100000000</v>
      </c>
      <c r="C34">
        <v>51</v>
      </c>
      <c r="D34">
        <v>3</v>
      </c>
      <c r="E34" s="1">
        <v>4.9999999999999998E-8</v>
      </c>
      <c r="F34">
        <v>5</v>
      </c>
      <c r="G34">
        <v>100999818</v>
      </c>
      <c r="H34">
        <v>1</v>
      </c>
      <c r="I34">
        <v>0</v>
      </c>
      <c r="J34" s="1">
        <f t="shared" si="1"/>
        <v>4.9999999999999998E-8</v>
      </c>
    </row>
    <row r="35" spans="1:10">
      <c r="A35">
        <v>10</v>
      </c>
      <c r="B35">
        <v>100000000</v>
      </c>
      <c r="C35">
        <v>45</v>
      </c>
      <c r="D35">
        <v>4</v>
      </c>
      <c r="E35" s="1">
        <v>4.9999999999999998E-8</v>
      </c>
      <c r="F35">
        <v>6</v>
      </c>
      <c r="G35">
        <v>100999813</v>
      </c>
      <c r="H35">
        <v>1</v>
      </c>
      <c r="I35">
        <v>1</v>
      </c>
      <c r="J35" s="1">
        <f t="shared" si="1"/>
        <v>4.9999999999999998E-8</v>
      </c>
    </row>
    <row r="36" spans="1:10">
      <c r="A36">
        <v>11</v>
      </c>
      <c r="B36">
        <v>100000000</v>
      </c>
      <c r="C36">
        <v>57</v>
      </c>
      <c r="D36">
        <v>13</v>
      </c>
      <c r="E36" s="1">
        <v>4.9999999999999998E-8</v>
      </c>
      <c r="F36">
        <v>7</v>
      </c>
      <c r="G36">
        <v>99999823</v>
      </c>
      <c r="H36">
        <v>2</v>
      </c>
      <c r="I36">
        <v>1</v>
      </c>
      <c r="J36" s="1">
        <f t="shared" si="1"/>
        <v>4.9999999999999998E-8</v>
      </c>
    </row>
    <row r="37" spans="1:10">
      <c r="A37">
        <v>12</v>
      </c>
      <c r="B37">
        <v>100000000</v>
      </c>
      <c r="C37">
        <v>121</v>
      </c>
      <c r="D37">
        <v>14</v>
      </c>
      <c r="E37" s="1">
        <v>4.9999999999999998E-8</v>
      </c>
      <c r="F37">
        <v>8</v>
      </c>
      <c r="G37">
        <v>99999821</v>
      </c>
      <c r="H37">
        <v>3</v>
      </c>
      <c r="I37">
        <v>2</v>
      </c>
      <c r="J37" s="1">
        <f t="shared" si="1"/>
        <v>4.9999999999999998E-8</v>
      </c>
    </row>
    <row r="38" spans="1:10">
      <c r="F38">
        <v>9</v>
      </c>
      <c r="G38">
        <v>99999829</v>
      </c>
      <c r="H38">
        <v>3</v>
      </c>
      <c r="I38">
        <v>0</v>
      </c>
      <c r="J38" s="1">
        <f t="shared" si="1"/>
        <v>4.9999999999999998E-8</v>
      </c>
    </row>
    <row r="39" spans="1:10">
      <c r="F39">
        <v>10</v>
      </c>
      <c r="G39">
        <v>98999826</v>
      </c>
      <c r="H39">
        <v>1</v>
      </c>
      <c r="I39">
        <v>0</v>
      </c>
      <c r="J39" s="1">
        <f t="shared" si="1"/>
        <v>4.9999999999999998E-8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mu2e_a50_fat_1-col.csv</vt:lpstr>
      <vt:lpstr>Tranmission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Accelerator Division</dc:creator>
  <cp:lastModifiedBy>Eric Prebys</cp:lastModifiedBy>
  <dcterms:created xsi:type="dcterms:W3CDTF">2014-05-02T16:48:53Z</dcterms:created>
  <dcterms:modified xsi:type="dcterms:W3CDTF">2015-04-16T18:02:19Z</dcterms:modified>
</cp:coreProperties>
</file>