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9820" yWindow="5420" windowWidth="25600" windowHeight="16060" tabRatio="500" activeTab="1"/>
  </bookViews>
  <sheets>
    <sheet name="Tails" sheetId="4" r:id="rId1"/>
    <sheet name="transmission.csv" sheetId="1" r:id="rId2"/>
    <sheet name="Sheet1" sheetId="2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3" i="1" l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P39" i="1"/>
  <c r="P38" i="1"/>
  <c r="P37" i="1"/>
  <c r="P36" i="1"/>
  <c r="P35" i="1"/>
  <c r="P34" i="1"/>
  <c r="P33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P23" i="1"/>
  <c r="P24" i="1"/>
  <c r="P25" i="1"/>
  <c r="P26" i="1"/>
  <c r="P27" i="1"/>
  <c r="P28" i="1"/>
  <c r="P29" i="1"/>
  <c r="P30" i="1"/>
  <c r="P31" i="1"/>
  <c r="P32" i="1"/>
  <c r="P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</calcChain>
</file>

<file path=xl/sharedStrings.xml><?xml version="1.0" encoding="utf-8"?>
<sst xmlns="http://schemas.openxmlformats.org/spreadsheetml/2006/main" count="25" uniqueCount="23">
  <si>
    <t xml:space="preserve"> numTot</t>
  </si>
  <si>
    <t xml:space="preserve">  numEnd</t>
  </si>
  <si>
    <t xml:space="preserve"> numHit</t>
  </si>
  <si>
    <t xml:space="preserve"> FCOLnumEnd</t>
  </si>
  <si>
    <t xml:space="preserve"> FCOLnumHit</t>
  </si>
  <si>
    <t>Transmission</t>
  </si>
  <si>
    <t>delta</t>
  </si>
  <si>
    <t>Delta</t>
  </si>
  <si>
    <t>Total</t>
  </si>
  <si>
    <t>Number at End</t>
  </si>
  <si>
    <t>Hits</t>
  </si>
  <si>
    <t>Hit NOCLEAN</t>
  </si>
  <si>
    <t>Hits NOTAILCOL</t>
  </si>
  <si>
    <t>Hits NOUSCOL</t>
  </si>
  <si>
    <t>Transmission NOCLEAN</t>
  </si>
  <si>
    <t>Transmission NOTAILCOL</t>
  </si>
  <si>
    <t>Transmission NOUSCOL</t>
  </si>
  <si>
    <t>Transmission Full</t>
  </si>
  <si>
    <t>SS-numEnd</t>
  </si>
  <si>
    <t>SS-numHit</t>
  </si>
  <si>
    <t>SS-Transmission</t>
  </si>
  <si>
    <t xml:space="preserve"> </t>
  </si>
  <si>
    <t>Hits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</si>
</sst>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E+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1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11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49" fontId="3" fillId="0" borderId="10" xfId="0" applyNumberFormat="1" applyFont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463830726631"/>
          <c:y val="0.0283458634869395"/>
          <c:w val="0.644501455825409"/>
          <c:h val="0.82900199039125"/>
        </c:manualLayout>
      </c:layout>
      <c:scatterChart>
        <c:scatterStyle val="lineMarker"/>
        <c:varyColors val="0"/>
        <c:ser>
          <c:idx val="0"/>
          <c:order val="0"/>
          <c:tx>
            <c:v>No Upstream Collimation</c:v>
          </c:tx>
          <c:marker>
            <c:symbol val="none"/>
          </c:marker>
          <c:xVal>
            <c:numRef>
              <c:f>transmission.csv!$O$22:$O$39</c:f>
              <c:numCache>
                <c:formatCode>General</c:formatCode>
                <c:ptCount val="18"/>
                <c:pt idx="0">
                  <c:v>2.0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3.0</c:v>
                </c:pt>
                <c:pt idx="11">
                  <c:v>4.0</c:v>
                </c:pt>
                <c:pt idx="12">
                  <c:v>5.0</c:v>
                </c:pt>
                <c:pt idx="13">
                  <c:v>6.0</c:v>
                </c:pt>
                <c:pt idx="14">
                  <c:v>7.0</c:v>
                </c:pt>
                <c:pt idx="15">
                  <c:v>8.0</c:v>
                </c:pt>
                <c:pt idx="16">
                  <c:v>9.0</c:v>
                </c:pt>
                <c:pt idx="17">
                  <c:v>10.0</c:v>
                </c:pt>
              </c:numCache>
            </c:numRef>
          </c:xVal>
          <c:yVal>
            <c:numRef>
              <c:f>transmission.csv!$P$22:$P$39</c:f>
              <c:numCache>
                <c:formatCode>0.0E+00</c:formatCode>
                <c:ptCount val="18"/>
                <c:pt idx="0">
                  <c:v>2.8E-6</c:v>
                </c:pt>
                <c:pt idx="1">
                  <c:v>2.58E-6</c:v>
                </c:pt>
                <c:pt idx="2">
                  <c:v>2.26E-6</c:v>
                </c:pt>
                <c:pt idx="3">
                  <c:v>2.29E-6</c:v>
                </c:pt>
                <c:pt idx="4">
                  <c:v>2.14E-6</c:v>
                </c:pt>
                <c:pt idx="5">
                  <c:v>1.84E-6</c:v>
                </c:pt>
                <c:pt idx="6">
                  <c:v>2.04E-6</c:v>
                </c:pt>
                <c:pt idx="7">
                  <c:v>2.12E-6</c:v>
                </c:pt>
                <c:pt idx="8">
                  <c:v>1.78E-6</c:v>
                </c:pt>
                <c:pt idx="9">
                  <c:v>1.77E-6</c:v>
                </c:pt>
                <c:pt idx="10">
                  <c:v>1.72E-6</c:v>
                </c:pt>
                <c:pt idx="11">
                  <c:v>5.3E-7</c:v>
                </c:pt>
                <c:pt idx="12">
                  <c:v>1.7E-7</c:v>
                </c:pt>
                <c:pt idx="13">
                  <c:v>2.5E-7</c:v>
                </c:pt>
                <c:pt idx="14">
                  <c:v>2.2E-7</c:v>
                </c:pt>
                <c:pt idx="15">
                  <c:v>1.9E-7</c:v>
                </c:pt>
                <c:pt idx="16">
                  <c:v>8E-8</c:v>
                </c:pt>
                <c:pt idx="17">
                  <c:v>1.8E-7</c:v>
                </c:pt>
              </c:numCache>
            </c:numRef>
          </c:yVal>
          <c:smooth val="0"/>
        </c:ser>
        <c:ser>
          <c:idx val="1"/>
          <c:order val="1"/>
          <c:tx>
            <c:v>Halo Collimation Only</c:v>
          </c:tx>
          <c:marker>
            <c:symbol val="none"/>
          </c:marker>
          <c:xVal>
            <c:numRef>
              <c:f>transmission.csv!$O$22:$O$39</c:f>
              <c:numCache>
                <c:formatCode>General</c:formatCode>
                <c:ptCount val="18"/>
                <c:pt idx="0">
                  <c:v>2.0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3.0</c:v>
                </c:pt>
                <c:pt idx="11">
                  <c:v>4.0</c:v>
                </c:pt>
                <c:pt idx="12">
                  <c:v>5.0</c:v>
                </c:pt>
                <c:pt idx="13">
                  <c:v>6.0</c:v>
                </c:pt>
                <c:pt idx="14">
                  <c:v>7.0</c:v>
                </c:pt>
                <c:pt idx="15">
                  <c:v>8.0</c:v>
                </c:pt>
                <c:pt idx="16">
                  <c:v>9.0</c:v>
                </c:pt>
                <c:pt idx="17">
                  <c:v>10.0</c:v>
                </c:pt>
              </c:numCache>
            </c:numRef>
          </c:xVal>
          <c:yVal>
            <c:numRef>
              <c:f>transmission.csv!$Q$22:$Q$39</c:f>
              <c:numCache>
                <c:formatCode>0.0E+00</c:formatCode>
                <c:ptCount val="18"/>
                <c:pt idx="0">
                  <c:v>7.6E-7</c:v>
                </c:pt>
                <c:pt idx="1">
                  <c:v>5.3E-7</c:v>
                </c:pt>
                <c:pt idx="2">
                  <c:v>3.2E-7</c:v>
                </c:pt>
                <c:pt idx="3">
                  <c:v>3.2E-7</c:v>
                </c:pt>
                <c:pt idx="4">
                  <c:v>3.8E-7</c:v>
                </c:pt>
                <c:pt idx="5">
                  <c:v>3.2E-7</c:v>
                </c:pt>
                <c:pt idx="6">
                  <c:v>2.9E-7</c:v>
                </c:pt>
                <c:pt idx="7">
                  <c:v>1.6E-7</c:v>
                </c:pt>
                <c:pt idx="8">
                  <c:v>2.3E-7</c:v>
                </c:pt>
                <c:pt idx="9">
                  <c:v>1.4E-7</c:v>
                </c:pt>
                <c:pt idx="10">
                  <c:v>1.2E-7</c:v>
                </c:pt>
                <c:pt idx="11">
                  <c:v>1.9E-7</c:v>
                </c:pt>
                <c:pt idx="12">
                  <c:v>1.6E-7</c:v>
                </c:pt>
                <c:pt idx="13">
                  <c:v>2.5E-7</c:v>
                </c:pt>
                <c:pt idx="14">
                  <c:v>9E-8</c:v>
                </c:pt>
                <c:pt idx="15">
                  <c:v>1.2E-7</c:v>
                </c:pt>
                <c:pt idx="16">
                  <c:v>1.2E-7</c:v>
                </c:pt>
                <c:pt idx="17">
                  <c:v>1.4E-7</c:v>
                </c:pt>
              </c:numCache>
            </c:numRef>
          </c:yVal>
          <c:smooth val="0"/>
        </c:ser>
        <c:ser>
          <c:idx val="3"/>
          <c:order val="2"/>
          <c:tx>
            <c:v>Halo+Tail Collimation</c:v>
          </c:tx>
          <c:marker>
            <c:symbol val="none"/>
          </c:marker>
          <c:xVal>
            <c:numRef>
              <c:f>transmission.csv!$O$22:$O$39</c:f>
              <c:numCache>
                <c:formatCode>General</c:formatCode>
                <c:ptCount val="18"/>
                <c:pt idx="0">
                  <c:v>2.0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3.0</c:v>
                </c:pt>
                <c:pt idx="11">
                  <c:v>4.0</c:v>
                </c:pt>
                <c:pt idx="12">
                  <c:v>5.0</c:v>
                </c:pt>
                <c:pt idx="13">
                  <c:v>6.0</c:v>
                </c:pt>
                <c:pt idx="14">
                  <c:v>7.0</c:v>
                </c:pt>
                <c:pt idx="15">
                  <c:v>8.0</c:v>
                </c:pt>
                <c:pt idx="16">
                  <c:v>9.0</c:v>
                </c:pt>
                <c:pt idx="17">
                  <c:v>10.0</c:v>
                </c:pt>
              </c:numCache>
            </c:numRef>
          </c:xVal>
          <c:yVal>
            <c:numRef>
              <c:f>transmission.csv!$S$22:$S$39</c:f>
              <c:numCache>
                <c:formatCode>0.0E+00</c:formatCode>
                <c:ptCount val="18"/>
                <c:pt idx="0">
                  <c:v>6E-8</c:v>
                </c:pt>
                <c:pt idx="1">
                  <c:v>5E-8</c:v>
                </c:pt>
                <c:pt idx="2">
                  <c:v>5E-8</c:v>
                </c:pt>
                <c:pt idx="3">
                  <c:v>5E-8</c:v>
                </c:pt>
                <c:pt idx="4">
                  <c:v>5E-8</c:v>
                </c:pt>
                <c:pt idx="5">
                  <c:v>5E-8</c:v>
                </c:pt>
                <c:pt idx="6">
                  <c:v>5E-8</c:v>
                </c:pt>
                <c:pt idx="7">
                  <c:v>5E-8</c:v>
                </c:pt>
                <c:pt idx="8">
                  <c:v>5E-8</c:v>
                </c:pt>
                <c:pt idx="9">
                  <c:v>5E-8</c:v>
                </c:pt>
                <c:pt idx="10">
                  <c:v>5E-8</c:v>
                </c:pt>
                <c:pt idx="11">
                  <c:v>5E-8</c:v>
                </c:pt>
                <c:pt idx="12">
                  <c:v>5E-8</c:v>
                </c:pt>
                <c:pt idx="13">
                  <c:v>5E-8</c:v>
                </c:pt>
                <c:pt idx="14">
                  <c:v>5E-8</c:v>
                </c:pt>
                <c:pt idx="15">
                  <c:v>5E-8</c:v>
                </c:pt>
                <c:pt idx="16">
                  <c:v>5E-8</c:v>
                </c:pt>
                <c:pt idx="17">
                  <c:v>5E-8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488328"/>
        <c:axId val="2136495256"/>
      </c:scatterChart>
      <c:valAx>
        <c:axId val="2136488328"/>
        <c:scaling>
          <c:orientation val="minMax"/>
          <c:max val="10.0"/>
          <c:min val="2.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Normalized</a:t>
                </a:r>
                <a:r>
                  <a:rPr lang="en-US" sz="1600" baseline="0"/>
                  <a:t> Deflection Angle</a:t>
                </a:r>
                <a:endParaRPr lang="en-US" sz="16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2136495256"/>
        <c:crossesAt val="1.0E-8"/>
        <c:crossBetween val="midCat"/>
      </c:valAx>
      <c:valAx>
        <c:axId val="2136495256"/>
        <c:scaling>
          <c:logBase val="10.0"/>
          <c:orientation val="minMax"/>
          <c:max val="1.0E-5"/>
          <c:min val="1.0E-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Transmission (Full Beam Line) </a:t>
                </a:r>
              </a:p>
            </c:rich>
          </c:tx>
          <c:layout>
            <c:manualLayout>
              <c:xMode val="edge"/>
              <c:yMode val="edge"/>
              <c:x val="0.00741308796440223"/>
              <c:y val="0.235385698610503"/>
            </c:manualLayout>
          </c:layout>
          <c:overlay val="0"/>
        </c:title>
        <c:numFmt formatCode="0.E+0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136488328"/>
        <c:crosses val="autoZero"/>
        <c:crossBetween val="midCat"/>
        <c:majorUnit val="10.0"/>
        <c:minorUnit val="10.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3231081361734"/>
          <c:y val="0.109428081428"/>
          <c:w val="0.291276336454263"/>
          <c:h val="0.17877363535956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transmission.csv!$G$1</c:f>
              <c:strCache>
                <c:ptCount val="1"/>
                <c:pt idx="0">
                  <c:v>Transmission</c:v>
                </c:pt>
              </c:strCache>
            </c:strRef>
          </c:tx>
          <c:marker>
            <c:symbol val="none"/>
          </c:marker>
          <c:xVal>
            <c:numRef>
              <c:f>transmission.csv!$A$2:$A$42</c:f>
              <c:numCache>
                <c:formatCode>General</c:formatCode>
                <c:ptCount val="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4.0</c:v>
                </c:pt>
                <c:pt idx="32">
                  <c:v>5.0</c:v>
                </c:pt>
                <c:pt idx="33">
                  <c:v>6.0</c:v>
                </c:pt>
                <c:pt idx="34">
                  <c:v>7.0</c:v>
                </c:pt>
                <c:pt idx="35">
                  <c:v>8.0</c:v>
                </c:pt>
                <c:pt idx="36">
                  <c:v>9.0</c:v>
                </c:pt>
                <c:pt idx="37">
                  <c:v>10.0</c:v>
                </c:pt>
              </c:numCache>
            </c:numRef>
          </c:xVal>
          <c:yVal>
            <c:numRef>
              <c:f>transmission.csv!$G$2:$G$42</c:f>
              <c:numCache>
                <c:formatCode>0.0E+00</c:formatCode>
                <c:ptCount val="41"/>
                <c:pt idx="0">
                  <c:v>1.0</c:v>
                </c:pt>
                <c:pt idx="1">
                  <c:v>1.0</c:v>
                </c:pt>
                <c:pt idx="2">
                  <c:v>0.991</c:v>
                </c:pt>
                <c:pt idx="3">
                  <c:v>0.951</c:v>
                </c:pt>
                <c:pt idx="4">
                  <c:v>0.888</c:v>
                </c:pt>
                <c:pt idx="5">
                  <c:v>0.822</c:v>
                </c:pt>
                <c:pt idx="6">
                  <c:v>0.754</c:v>
                </c:pt>
                <c:pt idx="7">
                  <c:v>0.6825</c:v>
                </c:pt>
                <c:pt idx="8">
                  <c:v>0.6195</c:v>
                </c:pt>
                <c:pt idx="9">
                  <c:v>0.543</c:v>
                </c:pt>
                <c:pt idx="10">
                  <c:v>0.4675</c:v>
                </c:pt>
                <c:pt idx="11">
                  <c:v>0.3812</c:v>
                </c:pt>
                <c:pt idx="12">
                  <c:v>0.3096</c:v>
                </c:pt>
                <c:pt idx="13">
                  <c:v>0.2354</c:v>
                </c:pt>
                <c:pt idx="14">
                  <c:v>0.169</c:v>
                </c:pt>
                <c:pt idx="15">
                  <c:v>0.1126</c:v>
                </c:pt>
                <c:pt idx="16">
                  <c:v>0.0599</c:v>
                </c:pt>
                <c:pt idx="17">
                  <c:v>0.0179</c:v>
                </c:pt>
                <c:pt idx="18">
                  <c:v>5.571E-5</c:v>
                </c:pt>
                <c:pt idx="19">
                  <c:v>7.09E-6</c:v>
                </c:pt>
                <c:pt idx="20">
                  <c:v>6E-8</c:v>
                </c:pt>
                <c:pt idx="21">
                  <c:v>5E-8</c:v>
                </c:pt>
                <c:pt idx="22">
                  <c:v>5E-8</c:v>
                </c:pt>
                <c:pt idx="23">
                  <c:v>5E-8</c:v>
                </c:pt>
                <c:pt idx="24">
                  <c:v>5E-8</c:v>
                </c:pt>
                <c:pt idx="25">
                  <c:v>5E-8</c:v>
                </c:pt>
                <c:pt idx="26">
                  <c:v>5E-8</c:v>
                </c:pt>
                <c:pt idx="27">
                  <c:v>5E-8</c:v>
                </c:pt>
                <c:pt idx="28">
                  <c:v>5E-8</c:v>
                </c:pt>
                <c:pt idx="29">
                  <c:v>5E-8</c:v>
                </c:pt>
                <c:pt idx="30">
                  <c:v>5E-8</c:v>
                </c:pt>
                <c:pt idx="31">
                  <c:v>5E-8</c:v>
                </c:pt>
                <c:pt idx="32">
                  <c:v>5E-8</c:v>
                </c:pt>
                <c:pt idx="33">
                  <c:v>5E-8</c:v>
                </c:pt>
                <c:pt idx="34">
                  <c:v>5E-8</c:v>
                </c:pt>
                <c:pt idx="35">
                  <c:v>5E-8</c:v>
                </c:pt>
                <c:pt idx="36">
                  <c:v>5E-8</c:v>
                </c:pt>
                <c:pt idx="37">
                  <c:v>5E-8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84856"/>
        <c:axId val="2137787880"/>
      </c:scatterChart>
      <c:valAx>
        <c:axId val="2137784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7787880"/>
        <c:crosses val="autoZero"/>
        <c:crossBetween val="midCat"/>
      </c:valAx>
      <c:valAx>
        <c:axId val="2137787880"/>
        <c:scaling>
          <c:orientation val="minMax"/>
        </c:scaling>
        <c:delete val="0"/>
        <c:axPos val="l"/>
        <c:majorGridlines/>
        <c:numFmt formatCode="0.0E+00" sourceLinked="1"/>
        <c:majorTickMark val="out"/>
        <c:minorTickMark val="none"/>
        <c:tickLblPos val="nextTo"/>
        <c:crossAx val="21377848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340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0.11656</cdr:x>
      <cdr:y>0.57895</cdr:y>
    </cdr:from>
    <cdr:to>
      <cdr:x>0.76585</cdr:x>
      <cdr:y>0.58195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998483" y="3372069"/>
          <a:ext cx="5561723" cy="17518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chemeClr val="tx1"/>
          </a:solidFill>
          <a:prstDash val="sysDash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0.6636</cdr:x>
      <cdr:y>0.57143</cdr:y>
    </cdr:from>
    <cdr:to>
      <cdr:x>0.77607</cdr:x>
      <cdr:y>0.63008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5684371" y="3328258"/>
          <a:ext cx="963411" cy="3416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/>
            <a:t>Goal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152400</xdr:colOff>
      <xdr:row>12</xdr:row>
      <xdr:rowOff>63500</xdr:rowOff>
    </xdr:from>
    <xdr:to>
      <xdr:col>25</xdr:col>
      <xdr:colOff>304800</xdr:colOff>
      <xdr:row>26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H29" sqref="H29"/>
    </sheetView>
  </sheetViews>
  <sheetFormatPr baseColWidth="10" defaultRowHeight="15" x14ac:dyDescent="0"/>
  <cols>
    <col min="10" max="10" width="13.1640625" customWidth="1"/>
    <col min="11" max="11" width="13.83203125" customWidth="1"/>
    <col min="12" max="12" width="15.83203125" customWidth="1"/>
    <col min="13" max="13" width="14" customWidth="1"/>
    <col min="16" max="16" width="13" customWidth="1"/>
    <col min="17" max="17" width="12.83203125" customWidth="1"/>
    <col min="18" max="18" width="13.83203125" customWidth="1"/>
    <col min="19" max="19" width="12.83203125" customWidth="1"/>
  </cols>
  <sheetData>
    <row r="1" spans="1:19" s="18" customFormat="1" ht="30">
      <c r="A1" s="18" t="s">
        <v>6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18</v>
      </c>
      <c r="I1" s="18" t="s">
        <v>19</v>
      </c>
      <c r="J1" s="18" t="s">
        <v>20</v>
      </c>
      <c r="K1" s="18" t="s">
        <v>11</v>
      </c>
      <c r="L1" s="18" t="s">
        <v>12</v>
      </c>
      <c r="M1" s="18" t="s">
        <v>13</v>
      </c>
      <c r="N1" s="18" t="s">
        <v>22</v>
      </c>
      <c r="P1" s="18" t="s">
        <v>14</v>
      </c>
      <c r="Q1" s="18" t="s">
        <v>15</v>
      </c>
      <c r="R1" s="18" t="s">
        <v>16</v>
      </c>
      <c r="S1" s="18" t="s">
        <v>17</v>
      </c>
    </row>
    <row r="2" spans="1:19">
      <c r="A2">
        <v>0</v>
      </c>
      <c r="B2">
        <v>1000</v>
      </c>
      <c r="C2">
        <v>1000</v>
      </c>
      <c r="D2">
        <v>1000</v>
      </c>
      <c r="G2" s="1">
        <f>MAX(D2/B2,0.00000005)</f>
        <v>1</v>
      </c>
      <c r="J2" s="1"/>
    </row>
    <row r="3" spans="1:19">
      <c r="A3">
        <v>0.1</v>
      </c>
      <c r="B3">
        <v>2000</v>
      </c>
      <c r="C3">
        <v>2000</v>
      </c>
      <c r="D3">
        <v>2000</v>
      </c>
      <c r="G3" s="1">
        <f t="shared" ref="G3:G39" si="0">MAX(D3/B3,0.00000005)</f>
        <v>1</v>
      </c>
      <c r="J3" s="1"/>
    </row>
    <row r="4" spans="1:19">
      <c r="A4">
        <v>0.2</v>
      </c>
      <c r="B4">
        <v>2000</v>
      </c>
      <c r="C4">
        <v>1982</v>
      </c>
      <c r="D4">
        <v>1982</v>
      </c>
      <c r="G4" s="1">
        <f t="shared" si="0"/>
        <v>0.99099999999999999</v>
      </c>
      <c r="J4" s="1"/>
    </row>
    <row r="5" spans="1:19">
      <c r="A5">
        <v>0.3</v>
      </c>
      <c r="B5">
        <v>2000</v>
      </c>
      <c r="C5">
        <v>1903</v>
      </c>
      <c r="D5">
        <v>1902</v>
      </c>
      <c r="G5" s="1">
        <f t="shared" si="0"/>
        <v>0.95099999999999996</v>
      </c>
      <c r="J5" s="1"/>
    </row>
    <row r="6" spans="1:19">
      <c r="A6">
        <v>0.4</v>
      </c>
      <c r="B6">
        <v>2000</v>
      </c>
      <c r="C6">
        <v>1777</v>
      </c>
      <c r="D6">
        <v>1776</v>
      </c>
      <c r="G6" s="1">
        <f t="shared" si="0"/>
        <v>0.88800000000000001</v>
      </c>
      <c r="J6" s="1"/>
    </row>
    <row r="7" spans="1:19">
      <c r="A7">
        <v>0.5</v>
      </c>
      <c r="B7">
        <v>2000</v>
      </c>
      <c r="C7">
        <v>1649</v>
      </c>
      <c r="D7">
        <v>1644</v>
      </c>
      <c r="G7" s="1">
        <f t="shared" si="0"/>
        <v>0.82199999999999995</v>
      </c>
      <c r="J7" s="1"/>
    </row>
    <row r="8" spans="1:19">
      <c r="A8">
        <v>0.6</v>
      </c>
      <c r="B8">
        <v>2000</v>
      </c>
      <c r="C8">
        <v>1515</v>
      </c>
      <c r="D8">
        <v>1508</v>
      </c>
      <c r="G8" s="1">
        <f t="shared" si="0"/>
        <v>0.754</v>
      </c>
      <c r="J8" s="1"/>
    </row>
    <row r="9" spans="1:19">
      <c r="A9">
        <v>0.7</v>
      </c>
      <c r="B9">
        <v>2000</v>
      </c>
      <c r="C9">
        <v>1368</v>
      </c>
      <c r="D9">
        <v>1365</v>
      </c>
      <c r="G9" s="1">
        <f t="shared" si="0"/>
        <v>0.6825</v>
      </c>
      <c r="J9" s="1"/>
    </row>
    <row r="10" spans="1:19">
      <c r="A10">
        <v>0.8</v>
      </c>
      <c r="B10">
        <v>2000</v>
      </c>
      <c r="C10">
        <v>1242</v>
      </c>
      <c r="D10">
        <v>1239</v>
      </c>
      <c r="G10" s="1">
        <f t="shared" si="0"/>
        <v>0.61950000000000005</v>
      </c>
      <c r="J10" s="1"/>
    </row>
    <row r="11" spans="1:19">
      <c r="A11">
        <v>0.9</v>
      </c>
      <c r="B11">
        <v>2000</v>
      </c>
      <c r="C11">
        <v>1094</v>
      </c>
      <c r="D11">
        <v>1086</v>
      </c>
      <c r="G11" s="1">
        <f t="shared" si="0"/>
        <v>0.54300000000000004</v>
      </c>
      <c r="J11" s="1"/>
    </row>
    <row r="12" spans="1:19">
      <c r="A12">
        <v>1</v>
      </c>
      <c r="B12">
        <v>2000</v>
      </c>
      <c r="C12">
        <v>943</v>
      </c>
      <c r="D12">
        <v>935</v>
      </c>
      <c r="G12" s="1">
        <f t="shared" si="0"/>
        <v>0.46750000000000003</v>
      </c>
      <c r="J12" s="1"/>
    </row>
    <row r="13" spans="1:19">
      <c r="A13">
        <v>1.1000000000000001</v>
      </c>
      <c r="B13">
        <v>5000</v>
      </c>
      <c r="C13">
        <v>1932</v>
      </c>
      <c r="D13">
        <v>1906</v>
      </c>
      <c r="G13" s="1">
        <f t="shared" si="0"/>
        <v>0.38119999999999998</v>
      </c>
      <c r="J13" s="1"/>
    </row>
    <row r="14" spans="1:19">
      <c r="A14">
        <v>1.2</v>
      </c>
      <c r="B14">
        <v>5000</v>
      </c>
      <c r="C14">
        <v>1566</v>
      </c>
      <c r="D14">
        <v>1548</v>
      </c>
      <c r="G14" s="1">
        <f t="shared" si="0"/>
        <v>0.30959999999999999</v>
      </c>
      <c r="J14" s="1"/>
    </row>
    <row r="15" spans="1:19">
      <c r="A15">
        <v>1.3</v>
      </c>
      <c r="B15">
        <v>5000</v>
      </c>
      <c r="C15">
        <v>1197</v>
      </c>
      <c r="D15">
        <v>1177</v>
      </c>
      <c r="G15" s="1">
        <f t="shared" si="0"/>
        <v>0.2354</v>
      </c>
      <c r="J15" s="1"/>
    </row>
    <row r="16" spans="1:19">
      <c r="A16">
        <v>1.4</v>
      </c>
      <c r="B16">
        <v>5000</v>
      </c>
      <c r="C16">
        <v>870</v>
      </c>
      <c r="D16">
        <v>845</v>
      </c>
      <c r="G16" s="1">
        <f t="shared" si="0"/>
        <v>0.16900000000000001</v>
      </c>
      <c r="J16" s="1"/>
    </row>
    <row r="17" spans="1:19">
      <c r="A17">
        <v>1.5</v>
      </c>
      <c r="B17">
        <v>10000</v>
      </c>
      <c r="C17">
        <v>1161</v>
      </c>
      <c r="D17">
        <v>1126</v>
      </c>
      <c r="G17" s="1">
        <f t="shared" si="0"/>
        <v>0.11260000000000001</v>
      </c>
      <c r="J17" s="1"/>
    </row>
    <row r="18" spans="1:19">
      <c r="A18">
        <v>1.6</v>
      </c>
      <c r="B18">
        <v>20000</v>
      </c>
      <c r="C18">
        <v>1276</v>
      </c>
      <c r="D18">
        <v>1198</v>
      </c>
      <c r="G18" s="1">
        <f t="shared" si="0"/>
        <v>5.9900000000000002E-2</v>
      </c>
      <c r="J18" s="1"/>
    </row>
    <row r="19" spans="1:19">
      <c r="A19">
        <v>1.7</v>
      </c>
      <c r="B19">
        <v>50000</v>
      </c>
      <c r="C19">
        <v>1028</v>
      </c>
      <c r="D19">
        <v>895</v>
      </c>
      <c r="G19" s="1">
        <f t="shared" si="0"/>
        <v>1.7899999999999999E-2</v>
      </c>
      <c r="J19" s="1"/>
    </row>
    <row r="20" spans="1:19">
      <c r="A20">
        <v>1.8</v>
      </c>
      <c r="B20">
        <v>100000000</v>
      </c>
      <c r="C20">
        <v>178468</v>
      </c>
      <c r="D20">
        <v>5571</v>
      </c>
      <c r="G20" s="1">
        <f t="shared" si="0"/>
        <v>5.571E-5</v>
      </c>
      <c r="H20">
        <v>316861</v>
      </c>
      <c r="I20">
        <v>10134</v>
      </c>
      <c r="J20" s="1"/>
    </row>
    <row r="21" spans="1:19">
      <c r="A21">
        <v>1.9</v>
      </c>
      <c r="B21">
        <v>100000000</v>
      </c>
      <c r="C21">
        <v>36161</v>
      </c>
      <c r="D21">
        <v>709</v>
      </c>
      <c r="G21" s="1">
        <f t="shared" si="0"/>
        <v>7.0899999999999999E-6</v>
      </c>
      <c r="H21">
        <v>73893</v>
      </c>
      <c r="I21">
        <v>1038</v>
      </c>
      <c r="J21" s="1"/>
    </row>
    <row r="22" spans="1:19">
      <c r="A22">
        <v>2</v>
      </c>
      <c r="B22">
        <v>100000000</v>
      </c>
      <c r="C22">
        <v>2854</v>
      </c>
      <c r="D22">
        <v>6</v>
      </c>
      <c r="G22" s="1">
        <f t="shared" si="0"/>
        <v>5.9999999999999995E-8</v>
      </c>
      <c r="H22">
        <v>9508</v>
      </c>
      <c r="I22">
        <v>15</v>
      </c>
      <c r="J22" s="1">
        <f>MAX(I22/B22,0.00000005)</f>
        <v>1.4999999999999999E-7</v>
      </c>
      <c r="K22">
        <v>274</v>
      </c>
      <c r="L22">
        <v>70</v>
      </c>
      <c r="M22">
        <v>0</v>
      </c>
      <c r="N22">
        <v>0</v>
      </c>
      <c r="O22">
        <v>2</v>
      </c>
      <c r="P22" s="1">
        <f>MAX(($D22+K22)/$B22,0.00000005)</f>
        <v>2.7999999999999999E-6</v>
      </c>
      <c r="Q22" s="1">
        <f t="shared" ref="Q22:S32" si="1">MAX(($D22+L22)/$B22,0.00000005)</f>
        <v>7.6000000000000003E-7</v>
      </c>
      <c r="R22" s="1">
        <f t="shared" si="1"/>
        <v>5.9999999999999995E-8</v>
      </c>
      <c r="S22" s="1">
        <f t="shared" si="1"/>
        <v>5.9999999999999995E-8</v>
      </c>
    </row>
    <row r="23" spans="1:19">
      <c r="A23">
        <v>2.1</v>
      </c>
      <c r="B23">
        <v>100000000</v>
      </c>
      <c r="C23">
        <v>807</v>
      </c>
      <c r="D23">
        <v>0</v>
      </c>
      <c r="G23" s="1">
        <f t="shared" si="0"/>
        <v>4.9999999999999998E-8</v>
      </c>
      <c r="H23">
        <v>3045</v>
      </c>
      <c r="I23">
        <v>8</v>
      </c>
      <c r="J23" s="1">
        <f t="shared" ref="J23:J39" si="2">MAX(I23/B23,0.00000005)</f>
        <v>8.0000000000000002E-8</v>
      </c>
      <c r="K23">
        <v>258</v>
      </c>
      <c r="L23">
        <v>53</v>
      </c>
      <c r="M23">
        <v>0</v>
      </c>
      <c r="N23">
        <v>0</v>
      </c>
      <c r="O23">
        <v>2.1</v>
      </c>
      <c r="P23" s="1">
        <f t="shared" ref="P23:P39" si="3">MAX(($D23+K23)/$B23,0.00000005)</f>
        <v>2.5799999999999999E-6</v>
      </c>
      <c r="Q23" s="1">
        <f t="shared" si="1"/>
        <v>5.3000000000000001E-7</v>
      </c>
      <c r="R23" s="1">
        <f t="shared" si="1"/>
        <v>4.9999999999999998E-8</v>
      </c>
      <c r="S23" s="1">
        <f t="shared" si="1"/>
        <v>4.9999999999999998E-8</v>
      </c>
    </row>
    <row r="24" spans="1:19">
      <c r="A24">
        <v>2.2000000000000002</v>
      </c>
      <c r="B24">
        <v>100000000</v>
      </c>
      <c r="C24">
        <v>333</v>
      </c>
      <c r="D24">
        <v>0</v>
      </c>
      <c r="G24" s="1">
        <f t="shared" si="0"/>
        <v>4.9999999999999998E-8</v>
      </c>
      <c r="H24">
        <v>1246</v>
      </c>
      <c r="I24">
        <v>1</v>
      </c>
      <c r="J24" s="1">
        <f t="shared" si="2"/>
        <v>4.9999999999999998E-8</v>
      </c>
      <c r="K24">
        <v>226</v>
      </c>
      <c r="L24">
        <v>32</v>
      </c>
      <c r="M24">
        <v>0</v>
      </c>
      <c r="N24">
        <v>1</v>
      </c>
      <c r="O24">
        <v>2.2000000000000002</v>
      </c>
      <c r="P24" s="1">
        <f t="shared" si="3"/>
        <v>2.26E-6</v>
      </c>
      <c r="Q24" s="1">
        <f t="shared" si="1"/>
        <v>3.2000000000000001E-7</v>
      </c>
      <c r="R24" s="1">
        <f t="shared" si="1"/>
        <v>4.9999999999999998E-8</v>
      </c>
      <c r="S24" s="1">
        <f t="shared" si="1"/>
        <v>4.9999999999999998E-8</v>
      </c>
    </row>
    <row r="25" spans="1:19">
      <c r="A25">
        <v>2.2999999999999998</v>
      </c>
      <c r="B25">
        <v>100000000</v>
      </c>
      <c r="C25">
        <v>161</v>
      </c>
      <c r="D25">
        <v>0</v>
      </c>
      <c r="G25" s="1">
        <f t="shared" si="0"/>
        <v>4.9999999999999998E-8</v>
      </c>
      <c r="H25">
        <v>691</v>
      </c>
      <c r="I25">
        <v>1</v>
      </c>
      <c r="J25" s="1">
        <f t="shared" si="2"/>
        <v>4.9999999999999998E-8</v>
      </c>
      <c r="K25">
        <v>229</v>
      </c>
      <c r="L25">
        <v>32</v>
      </c>
      <c r="M25">
        <v>1</v>
      </c>
      <c r="N25">
        <v>0</v>
      </c>
      <c r="O25">
        <v>2.2999999999999998</v>
      </c>
      <c r="P25" s="1">
        <f t="shared" si="3"/>
        <v>2.2900000000000001E-6</v>
      </c>
      <c r="Q25" s="1">
        <f t="shared" si="1"/>
        <v>3.2000000000000001E-7</v>
      </c>
      <c r="R25" s="1">
        <f t="shared" si="1"/>
        <v>4.9999999999999998E-8</v>
      </c>
      <c r="S25" s="1">
        <f t="shared" si="1"/>
        <v>4.9999999999999998E-8</v>
      </c>
    </row>
    <row r="26" spans="1:19">
      <c r="A26">
        <v>2.4</v>
      </c>
      <c r="B26">
        <v>100000000</v>
      </c>
      <c r="C26">
        <v>87</v>
      </c>
      <c r="D26">
        <v>0</v>
      </c>
      <c r="G26" s="1">
        <f t="shared" si="0"/>
        <v>4.9999999999999998E-8</v>
      </c>
      <c r="H26">
        <v>362</v>
      </c>
      <c r="I26">
        <v>2</v>
      </c>
      <c r="J26" s="1">
        <f t="shared" si="2"/>
        <v>4.9999999999999998E-8</v>
      </c>
      <c r="K26">
        <v>214</v>
      </c>
      <c r="L26">
        <v>38</v>
      </c>
      <c r="M26">
        <v>0</v>
      </c>
      <c r="N26">
        <v>1</v>
      </c>
      <c r="O26">
        <v>2.4</v>
      </c>
      <c r="P26" s="1">
        <f t="shared" si="3"/>
        <v>2.1399999999999998E-6</v>
      </c>
      <c r="Q26" s="1">
        <f t="shared" si="1"/>
        <v>3.8000000000000001E-7</v>
      </c>
      <c r="R26" s="1">
        <f t="shared" si="1"/>
        <v>4.9999999999999998E-8</v>
      </c>
      <c r="S26" s="1">
        <f t="shared" si="1"/>
        <v>4.9999999999999998E-8</v>
      </c>
    </row>
    <row r="27" spans="1:19">
      <c r="A27">
        <v>2.5</v>
      </c>
      <c r="B27">
        <v>100000000</v>
      </c>
      <c r="C27">
        <v>46</v>
      </c>
      <c r="D27">
        <v>1</v>
      </c>
      <c r="G27" s="1">
        <f t="shared" si="0"/>
        <v>4.9999999999999998E-8</v>
      </c>
      <c r="H27">
        <v>181</v>
      </c>
      <c r="I27">
        <v>0</v>
      </c>
      <c r="J27" s="1">
        <f t="shared" si="2"/>
        <v>4.9999999999999998E-8</v>
      </c>
      <c r="K27">
        <v>183</v>
      </c>
      <c r="L27">
        <v>31</v>
      </c>
      <c r="M27">
        <v>0</v>
      </c>
      <c r="N27">
        <v>0</v>
      </c>
      <c r="O27">
        <v>2.5</v>
      </c>
      <c r="P27" s="1">
        <f>MAX(($D27+K27)/$B27,0.00000005)</f>
        <v>1.84E-6</v>
      </c>
      <c r="Q27" s="1">
        <f t="shared" si="1"/>
        <v>3.2000000000000001E-7</v>
      </c>
      <c r="R27" s="1">
        <f t="shared" si="1"/>
        <v>4.9999999999999998E-8</v>
      </c>
      <c r="S27" s="1">
        <f t="shared" si="1"/>
        <v>4.9999999999999998E-8</v>
      </c>
    </row>
    <row r="28" spans="1:19">
      <c r="A28">
        <v>2.6</v>
      </c>
      <c r="B28">
        <v>100000000</v>
      </c>
      <c r="C28">
        <v>24</v>
      </c>
      <c r="D28">
        <v>0</v>
      </c>
      <c r="G28" s="1">
        <f t="shared" si="0"/>
        <v>4.9999999999999998E-8</v>
      </c>
      <c r="H28">
        <v>138</v>
      </c>
      <c r="I28">
        <v>0</v>
      </c>
      <c r="J28" s="1">
        <f t="shared" si="2"/>
        <v>4.9999999999999998E-8</v>
      </c>
      <c r="K28">
        <v>204</v>
      </c>
      <c r="L28">
        <v>29</v>
      </c>
      <c r="M28">
        <v>0</v>
      </c>
      <c r="N28">
        <v>0</v>
      </c>
      <c r="O28">
        <v>2.6</v>
      </c>
      <c r="P28" s="1">
        <f>MAX(($D28+K28)/$B28,0.00000005)</f>
        <v>2.04E-6</v>
      </c>
      <c r="Q28" s="1">
        <f t="shared" si="1"/>
        <v>2.8999999999999998E-7</v>
      </c>
      <c r="R28" s="1">
        <f t="shared" si="1"/>
        <v>4.9999999999999998E-8</v>
      </c>
      <c r="S28" s="1">
        <f t="shared" si="1"/>
        <v>4.9999999999999998E-8</v>
      </c>
    </row>
    <row r="29" spans="1:19">
      <c r="A29">
        <v>2.7</v>
      </c>
      <c r="B29">
        <v>100000000</v>
      </c>
      <c r="C29">
        <v>3</v>
      </c>
      <c r="D29">
        <v>0</v>
      </c>
      <c r="G29" s="1">
        <f t="shared" si="0"/>
        <v>4.9999999999999998E-8</v>
      </c>
      <c r="J29" s="1">
        <f t="shared" si="2"/>
        <v>4.9999999999999998E-8</v>
      </c>
      <c r="K29">
        <v>212</v>
      </c>
      <c r="L29">
        <v>16</v>
      </c>
      <c r="M29">
        <v>1</v>
      </c>
      <c r="N29">
        <v>1</v>
      </c>
      <c r="O29">
        <v>2.7</v>
      </c>
      <c r="P29" s="1">
        <f>MAX(($D29+K29)/$B29,0.00000005)</f>
        <v>2.12E-6</v>
      </c>
      <c r="Q29" s="1">
        <f t="shared" si="1"/>
        <v>1.6E-7</v>
      </c>
      <c r="R29" s="1">
        <f t="shared" si="1"/>
        <v>4.9999999999999998E-8</v>
      </c>
      <c r="S29" s="1">
        <f t="shared" si="1"/>
        <v>4.9999999999999998E-8</v>
      </c>
    </row>
    <row r="30" spans="1:19">
      <c r="A30">
        <v>2.8</v>
      </c>
      <c r="B30">
        <v>100000000</v>
      </c>
      <c r="C30">
        <v>13</v>
      </c>
      <c r="D30">
        <v>0</v>
      </c>
      <c r="G30" s="1">
        <f t="shared" si="0"/>
        <v>4.9999999999999998E-8</v>
      </c>
      <c r="J30" s="1">
        <f t="shared" si="2"/>
        <v>4.9999999999999998E-8</v>
      </c>
      <c r="K30">
        <v>178</v>
      </c>
      <c r="L30">
        <v>23</v>
      </c>
      <c r="M30">
        <v>1</v>
      </c>
      <c r="N30">
        <v>1</v>
      </c>
      <c r="O30">
        <v>2.8</v>
      </c>
      <c r="P30" s="1">
        <f t="shared" si="3"/>
        <v>1.7799999999999999E-6</v>
      </c>
      <c r="Q30" s="1">
        <f t="shared" si="1"/>
        <v>2.2999999999999999E-7</v>
      </c>
      <c r="R30" s="1">
        <f t="shared" si="1"/>
        <v>4.9999999999999998E-8</v>
      </c>
      <c r="S30" s="1">
        <f t="shared" si="1"/>
        <v>4.9999999999999998E-8</v>
      </c>
    </row>
    <row r="31" spans="1:19">
      <c r="A31">
        <v>2.9</v>
      </c>
      <c r="B31">
        <v>100000000</v>
      </c>
      <c r="C31">
        <v>6</v>
      </c>
      <c r="D31">
        <v>0</v>
      </c>
      <c r="G31" s="1">
        <f t="shared" si="0"/>
        <v>4.9999999999999998E-8</v>
      </c>
      <c r="J31" s="1">
        <f t="shared" si="2"/>
        <v>4.9999999999999998E-8</v>
      </c>
      <c r="K31">
        <v>177</v>
      </c>
      <c r="L31">
        <v>14</v>
      </c>
      <c r="M31">
        <v>0</v>
      </c>
      <c r="N31">
        <v>0</v>
      </c>
      <c r="O31">
        <v>2.9</v>
      </c>
      <c r="P31" s="1">
        <f t="shared" si="3"/>
        <v>1.77E-6</v>
      </c>
      <c r="Q31" s="1">
        <f t="shared" si="1"/>
        <v>1.4000000000000001E-7</v>
      </c>
      <c r="R31" s="1">
        <f t="shared" si="1"/>
        <v>4.9999999999999998E-8</v>
      </c>
      <c r="S31" s="1">
        <f t="shared" si="1"/>
        <v>4.9999999999999998E-8</v>
      </c>
    </row>
    <row r="32" spans="1:19">
      <c r="A32">
        <v>3</v>
      </c>
      <c r="B32">
        <v>100000000</v>
      </c>
      <c r="E32" t="s">
        <v>21</v>
      </c>
      <c r="F32" t="s">
        <v>21</v>
      </c>
      <c r="G32" s="1">
        <f t="shared" si="0"/>
        <v>4.9999999999999998E-8</v>
      </c>
      <c r="J32" s="1">
        <f t="shared" si="2"/>
        <v>4.9999999999999998E-8</v>
      </c>
      <c r="K32">
        <v>172</v>
      </c>
      <c r="L32">
        <v>12</v>
      </c>
      <c r="M32">
        <v>0</v>
      </c>
      <c r="N32">
        <v>0</v>
      </c>
      <c r="O32">
        <v>3</v>
      </c>
      <c r="P32" s="1">
        <f t="shared" si="3"/>
        <v>1.72E-6</v>
      </c>
      <c r="Q32" s="1">
        <f t="shared" si="1"/>
        <v>1.1999999999999999E-7</v>
      </c>
      <c r="R32" s="1">
        <f t="shared" si="1"/>
        <v>4.9999999999999998E-8</v>
      </c>
      <c r="S32" s="1">
        <f t="shared" si="1"/>
        <v>4.9999999999999998E-8</v>
      </c>
    </row>
    <row r="33" spans="1:19">
      <c r="A33">
        <v>4</v>
      </c>
      <c r="B33">
        <v>100000000</v>
      </c>
      <c r="G33" s="1">
        <f t="shared" si="0"/>
        <v>4.9999999999999998E-8</v>
      </c>
      <c r="J33" s="1">
        <f t="shared" si="2"/>
        <v>4.9999999999999998E-8</v>
      </c>
      <c r="K33">
        <v>53</v>
      </c>
      <c r="L33">
        <v>19</v>
      </c>
      <c r="M33">
        <v>0</v>
      </c>
      <c r="N33">
        <v>0</v>
      </c>
      <c r="O33">
        <v>4</v>
      </c>
      <c r="P33" s="1">
        <f t="shared" si="3"/>
        <v>5.3000000000000001E-7</v>
      </c>
      <c r="Q33" s="1">
        <f t="shared" ref="Q33:Q39" si="4">MAX(($D33+L33)/$B33,0.00000005)</f>
        <v>1.9000000000000001E-7</v>
      </c>
      <c r="R33" s="1">
        <f t="shared" ref="R33:R39" si="5">MAX(($D33+M33)/$B33,0.00000005)</f>
        <v>4.9999999999999998E-8</v>
      </c>
      <c r="S33" s="1">
        <f t="shared" ref="S33:S39" si="6">MAX(($D33+N33)/$B33,0.00000005)</f>
        <v>4.9999999999999998E-8</v>
      </c>
    </row>
    <row r="34" spans="1:19">
      <c r="A34">
        <v>5</v>
      </c>
      <c r="B34">
        <v>100000000</v>
      </c>
      <c r="G34" s="1">
        <f t="shared" si="0"/>
        <v>4.9999999999999998E-8</v>
      </c>
      <c r="J34" s="1">
        <f t="shared" si="2"/>
        <v>4.9999999999999998E-8</v>
      </c>
      <c r="K34">
        <v>17</v>
      </c>
      <c r="L34">
        <v>16</v>
      </c>
      <c r="M34">
        <v>2</v>
      </c>
      <c r="N34">
        <v>0</v>
      </c>
      <c r="O34">
        <v>5</v>
      </c>
      <c r="P34" s="1">
        <f t="shared" si="3"/>
        <v>1.6999999999999999E-7</v>
      </c>
      <c r="Q34" s="1">
        <f t="shared" si="4"/>
        <v>1.6E-7</v>
      </c>
      <c r="R34" s="1">
        <f t="shared" si="5"/>
        <v>4.9999999999999998E-8</v>
      </c>
      <c r="S34" s="1">
        <f t="shared" si="6"/>
        <v>4.9999999999999998E-8</v>
      </c>
    </row>
    <row r="35" spans="1:19">
      <c r="A35">
        <v>6</v>
      </c>
      <c r="B35">
        <v>100000000</v>
      </c>
      <c r="G35" s="1">
        <f t="shared" si="0"/>
        <v>4.9999999999999998E-8</v>
      </c>
      <c r="J35" s="1">
        <f t="shared" si="2"/>
        <v>4.9999999999999998E-8</v>
      </c>
      <c r="K35">
        <v>25</v>
      </c>
      <c r="L35">
        <v>25</v>
      </c>
      <c r="M35">
        <v>0</v>
      </c>
      <c r="N35">
        <v>0</v>
      </c>
      <c r="O35">
        <v>6</v>
      </c>
      <c r="P35" s="1">
        <f t="shared" si="3"/>
        <v>2.4999999999999999E-7</v>
      </c>
      <c r="Q35" s="1">
        <f t="shared" si="4"/>
        <v>2.4999999999999999E-7</v>
      </c>
      <c r="R35" s="1">
        <f t="shared" si="5"/>
        <v>4.9999999999999998E-8</v>
      </c>
      <c r="S35" s="1">
        <f t="shared" si="6"/>
        <v>4.9999999999999998E-8</v>
      </c>
    </row>
    <row r="36" spans="1:19">
      <c r="A36">
        <v>7</v>
      </c>
      <c r="B36">
        <v>100000000</v>
      </c>
      <c r="G36" s="1">
        <f t="shared" si="0"/>
        <v>4.9999999999999998E-8</v>
      </c>
      <c r="J36" s="1">
        <f t="shared" si="2"/>
        <v>4.9999999999999998E-8</v>
      </c>
      <c r="K36">
        <v>22</v>
      </c>
      <c r="L36">
        <v>9</v>
      </c>
      <c r="M36">
        <v>0</v>
      </c>
      <c r="N36">
        <v>0</v>
      </c>
      <c r="O36">
        <v>7</v>
      </c>
      <c r="P36" s="1">
        <f t="shared" si="3"/>
        <v>2.2000000000000001E-7</v>
      </c>
      <c r="Q36" s="1">
        <f t="shared" si="4"/>
        <v>8.9999999999999999E-8</v>
      </c>
      <c r="R36" s="1">
        <f t="shared" si="5"/>
        <v>4.9999999999999998E-8</v>
      </c>
      <c r="S36" s="1">
        <f t="shared" si="6"/>
        <v>4.9999999999999998E-8</v>
      </c>
    </row>
    <row r="37" spans="1:19">
      <c r="A37">
        <v>8</v>
      </c>
      <c r="B37">
        <v>100000000</v>
      </c>
      <c r="G37" s="1">
        <f t="shared" si="0"/>
        <v>4.9999999999999998E-8</v>
      </c>
      <c r="J37" s="1">
        <f t="shared" si="2"/>
        <v>4.9999999999999998E-8</v>
      </c>
      <c r="K37">
        <v>19</v>
      </c>
      <c r="L37">
        <v>12</v>
      </c>
      <c r="M37">
        <v>0</v>
      </c>
      <c r="N37">
        <v>1</v>
      </c>
      <c r="O37">
        <v>8</v>
      </c>
      <c r="P37" s="1">
        <f t="shared" si="3"/>
        <v>1.9000000000000001E-7</v>
      </c>
      <c r="Q37" s="1">
        <f t="shared" si="4"/>
        <v>1.1999999999999999E-7</v>
      </c>
      <c r="R37" s="1">
        <f t="shared" si="5"/>
        <v>4.9999999999999998E-8</v>
      </c>
      <c r="S37" s="1">
        <f t="shared" si="6"/>
        <v>4.9999999999999998E-8</v>
      </c>
    </row>
    <row r="38" spans="1:19">
      <c r="A38">
        <v>9</v>
      </c>
      <c r="B38">
        <v>100000000</v>
      </c>
      <c r="G38" s="1">
        <f t="shared" si="0"/>
        <v>4.9999999999999998E-8</v>
      </c>
      <c r="J38" s="1">
        <f t="shared" si="2"/>
        <v>4.9999999999999998E-8</v>
      </c>
      <c r="K38">
        <v>8</v>
      </c>
      <c r="L38">
        <v>12</v>
      </c>
      <c r="M38">
        <v>0</v>
      </c>
      <c r="N38">
        <v>0</v>
      </c>
      <c r="O38">
        <v>9</v>
      </c>
      <c r="P38" s="1">
        <f t="shared" si="3"/>
        <v>8.0000000000000002E-8</v>
      </c>
      <c r="Q38" s="1">
        <f t="shared" si="4"/>
        <v>1.1999999999999999E-7</v>
      </c>
      <c r="R38" s="1">
        <f t="shared" si="5"/>
        <v>4.9999999999999998E-8</v>
      </c>
      <c r="S38" s="1">
        <f t="shared" si="6"/>
        <v>4.9999999999999998E-8</v>
      </c>
    </row>
    <row r="39" spans="1:19">
      <c r="A39">
        <v>10</v>
      </c>
      <c r="B39">
        <v>100000000</v>
      </c>
      <c r="G39" s="1">
        <f t="shared" si="0"/>
        <v>4.9999999999999998E-8</v>
      </c>
      <c r="J39" s="1">
        <f t="shared" si="2"/>
        <v>4.9999999999999998E-8</v>
      </c>
      <c r="K39">
        <v>18</v>
      </c>
      <c r="L39">
        <v>14</v>
      </c>
      <c r="M39">
        <v>0</v>
      </c>
      <c r="N39">
        <v>0</v>
      </c>
      <c r="O39">
        <v>10</v>
      </c>
      <c r="P39" s="1">
        <f t="shared" si="3"/>
        <v>1.8E-7</v>
      </c>
      <c r="Q39" s="1">
        <f t="shared" si="4"/>
        <v>1.4000000000000001E-7</v>
      </c>
      <c r="R39" s="1">
        <f t="shared" si="5"/>
        <v>4.9999999999999998E-8</v>
      </c>
      <c r="S39" s="1">
        <f t="shared" si="6"/>
        <v>4.9999999999999998E-8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K17" sqref="K17"/>
    </sheetView>
  </sheetViews>
  <sheetFormatPr baseColWidth="10" defaultRowHeight="15" x14ac:dyDescent="0"/>
  <cols>
    <col min="3" max="3" width="15.1640625" customWidth="1"/>
    <col min="5" max="5" width="13.6640625" customWidth="1"/>
  </cols>
  <sheetData>
    <row r="1" spans="1:5" ht="37" thickBot="1">
      <c r="A1" s="15" t="s">
        <v>7</v>
      </c>
      <c r="B1" s="16" t="s">
        <v>8</v>
      </c>
      <c r="C1" s="16" t="s">
        <v>9</v>
      </c>
      <c r="D1" s="16" t="s">
        <v>10</v>
      </c>
      <c r="E1" s="17" t="s">
        <v>5</v>
      </c>
    </row>
    <row r="2" spans="1:5" ht="16" thickTop="1">
      <c r="A2" s="11">
        <v>0</v>
      </c>
      <c r="B2" s="12">
        <v>1000</v>
      </c>
      <c r="C2" s="13">
        <v>1000</v>
      </c>
      <c r="D2" s="13">
        <v>1000</v>
      </c>
      <c r="E2" s="14">
        <v>1</v>
      </c>
    </row>
    <row r="3" spans="1:5">
      <c r="A3" s="4">
        <v>0.1</v>
      </c>
      <c r="B3" s="2">
        <v>2000</v>
      </c>
      <c r="C3" s="3">
        <v>2000</v>
      </c>
      <c r="D3" s="3">
        <v>2000</v>
      </c>
      <c r="E3" s="5">
        <v>1</v>
      </c>
    </row>
    <row r="4" spans="1:5">
      <c r="A4" s="4">
        <v>0.2</v>
      </c>
      <c r="B4" s="2">
        <v>2000</v>
      </c>
      <c r="C4" s="3">
        <v>1982</v>
      </c>
      <c r="D4" s="3">
        <v>1982</v>
      </c>
      <c r="E4" s="5">
        <v>0.99099999999999999</v>
      </c>
    </row>
    <row r="5" spans="1:5">
      <c r="A5" s="4">
        <v>0.3</v>
      </c>
      <c r="B5" s="2">
        <v>2000</v>
      </c>
      <c r="C5" s="3">
        <v>1903</v>
      </c>
      <c r="D5" s="3">
        <v>1902</v>
      </c>
      <c r="E5" s="5">
        <v>0.95099999999999996</v>
      </c>
    </row>
    <row r="6" spans="1:5">
      <c r="A6" s="4">
        <v>0.4</v>
      </c>
      <c r="B6" s="2">
        <v>2000</v>
      </c>
      <c r="C6" s="3">
        <v>1777</v>
      </c>
      <c r="D6" s="3">
        <v>1776</v>
      </c>
      <c r="E6" s="5">
        <v>0.88800000000000001</v>
      </c>
    </row>
    <row r="7" spans="1:5">
      <c r="A7" s="4">
        <v>0.5</v>
      </c>
      <c r="B7" s="2">
        <v>2000</v>
      </c>
      <c r="C7" s="3">
        <v>1649</v>
      </c>
      <c r="D7" s="3">
        <v>1644</v>
      </c>
      <c r="E7" s="5">
        <v>0.82199999999999995</v>
      </c>
    </row>
    <row r="8" spans="1:5">
      <c r="A8" s="4">
        <v>0.6</v>
      </c>
      <c r="B8" s="2">
        <v>2000</v>
      </c>
      <c r="C8" s="3">
        <v>1515</v>
      </c>
      <c r="D8" s="3">
        <v>1508</v>
      </c>
      <c r="E8" s="5">
        <v>0.754</v>
      </c>
    </row>
    <row r="9" spans="1:5">
      <c r="A9" s="4">
        <v>0.7</v>
      </c>
      <c r="B9" s="2">
        <v>2000</v>
      </c>
      <c r="C9" s="3">
        <v>1368</v>
      </c>
      <c r="D9" s="3">
        <v>1365</v>
      </c>
      <c r="E9" s="5">
        <v>0.6825</v>
      </c>
    </row>
    <row r="10" spans="1:5">
      <c r="A10" s="4">
        <v>0.8</v>
      </c>
      <c r="B10" s="2">
        <v>2000</v>
      </c>
      <c r="C10" s="3">
        <v>1242</v>
      </c>
      <c r="D10" s="3">
        <v>1239</v>
      </c>
      <c r="E10" s="5">
        <v>0.61950000000000005</v>
      </c>
    </row>
    <row r="11" spans="1:5">
      <c r="A11" s="4">
        <v>0.9</v>
      </c>
      <c r="B11" s="2">
        <v>2000</v>
      </c>
      <c r="C11" s="3">
        <v>1094</v>
      </c>
      <c r="D11" s="3">
        <v>1086</v>
      </c>
      <c r="E11" s="5">
        <v>0.54300000000000004</v>
      </c>
    </row>
    <row r="12" spans="1:5">
      <c r="A12" s="4">
        <v>1</v>
      </c>
      <c r="B12" s="2">
        <v>2000</v>
      </c>
      <c r="C12" s="3">
        <v>943</v>
      </c>
      <c r="D12" s="3">
        <v>935</v>
      </c>
      <c r="E12" s="5">
        <v>0.46750000000000003</v>
      </c>
    </row>
    <row r="13" spans="1:5">
      <c r="A13" s="4">
        <v>1.1000000000000001</v>
      </c>
      <c r="B13" s="2">
        <v>5000</v>
      </c>
      <c r="C13" s="3">
        <v>1932</v>
      </c>
      <c r="D13" s="3">
        <v>1906</v>
      </c>
      <c r="E13" s="5">
        <v>0.38119999999999998</v>
      </c>
    </row>
    <row r="14" spans="1:5">
      <c r="A14" s="4">
        <v>1.2</v>
      </c>
      <c r="B14" s="2">
        <v>5000</v>
      </c>
      <c r="C14" s="3">
        <v>1566</v>
      </c>
      <c r="D14" s="3">
        <v>1548</v>
      </c>
      <c r="E14" s="5">
        <v>0.30959999999999999</v>
      </c>
    </row>
    <row r="15" spans="1:5">
      <c r="A15" s="4">
        <v>1.3</v>
      </c>
      <c r="B15" s="2">
        <v>5000</v>
      </c>
      <c r="C15" s="3">
        <v>1197</v>
      </c>
      <c r="D15" s="3">
        <v>1177</v>
      </c>
      <c r="E15" s="5">
        <v>0.2354</v>
      </c>
    </row>
    <row r="16" spans="1:5">
      <c r="A16" s="4">
        <v>1.4</v>
      </c>
      <c r="B16" s="2">
        <v>5000</v>
      </c>
      <c r="C16" s="3">
        <v>870</v>
      </c>
      <c r="D16" s="3">
        <v>845</v>
      </c>
      <c r="E16" s="5">
        <v>0.16900000000000001</v>
      </c>
    </row>
    <row r="17" spans="1:5">
      <c r="A17" s="4">
        <v>1.5</v>
      </c>
      <c r="B17" s="2">
        <v>10000</v>
      </c>
      <c r="C17" s="3">
        <v>1161</v>
      </c>
      <c r="D17" s="3">
        <v>1126</v>
      </c>
      <c r="E17" s="5">
        <v>0.11260000000000001</v>
      </c>
    </row>
    <row r="18" spans="1:5">
      <c r="A18" s="4">
        <v>1.6</v>
      </c>
      <c r="B18" s="2">
        <v>20000</v>
      </c>
      <c r="C18" s="3">
        <v>1276</v>
      </c>
      <c r="D18" s="3">
        <v>1198</v>
      </c>
      <c r="E18" s="5">
        <v>5.9900000000000002E-2</v>
      </c>
    </row>
    <row r="19" spans="1:5">
      <c r="A19" s="4">
        <v>1.7</v>
      </c>
      <c r="B19" s="2">
        <v>50000</v>
      </c>
      <c r="C19" s="3">
        <v>1028</v>
      </c>
      <c r="D19" s="3">
        <v>895</v>
      </c>
      <c r="E19" s="5">
        <v>1.7899999999999999E-2</v>
      </c>
    </row>
    <row r="20" spans="1:5">
      <c r="A20" s="4">
        <v>1.8</v>
      </c>
      <c r="B20" s="2">
        <v>100000000</v>
      </c>
      <c r="C20" s="3">
        <v>202424</v>
      </c>
      <c r="D20" s="3">
        <v>5154</v>
      </c>
      <c r="E20" s="6">
        <v>5.1539999999999998E-5</v>
      </c>
    </row>
    <row r="21" spans="1:5">
      <c r="A21" s="4">
        <v>1.9</v>
      </c>
      <c r="B21" s="2">
        <v>100000000</v>
      </c>
      <c r="C21" s="3">
        <v>39430</v>
      </c>
      <c r="D21" s="3">
        <v>638</v>
      </c>
      <c r="E21" s="6">
        <v>6.3799999999999999E-6</v>
      </c>
    </row>
    <row r="22" spans="1:5">
      <c r="A22" s="4">
        <v>2</v>
      </c>
      <c r="B22" s="2">
        <v>100000000</v>
      </c>
      <c r="C22" s="3">
        <v>3034</v>
      </c>
      <c r="D22" s="3">
        <v>7</v>
      </c>
      <c r="E22" s="6">
        <v>7.0000000000000005E-8</v>
      </c>
    </row>
    <row r="23" spans="1:5">
      <c r="A23" s="4">
        <v>2.1</v>
      </c>
      <c r="B23" s="2">
        <v>100000000</v>
      </c>
      <c r="C23" s="3">
        <v>986</v>
      </c>
      <c r="D23" s="3">
        <v>0</v>
      </c>
      <c r="E23" s="6">
        <v>4.9999999999999998E-8</v>
      </c>
    </row>
    <row r="24" spans="1:5">
      <c r="A24" s="4">
        <v>2.2000000000000002</v>
      </c>
      <c r="B24" s="2">
        <v>100000000</v>
      </c>
      <c r="C24" s="3">
        <v>360</v>
      </c>
      <c r="D24" s="3">
        <v>0</v>
      </c>
      <c r="E24" s="6">
        <v>4.9999999999999998E-8</v>
      </c>
    </row>
    <row r="25" spans="1:5">
      <c r="A25" s="4">
        <v>2.2999999999999998</v>
      </c>
      <c r="B25" s="2">
        <v>100000000</v>
      </c>
      <c r="C25" s="3">
        <v>161</v>
      </c>
      <c r="D25" s="3">
        <v>0</v>
      </c>
      <c r="E25" s="6">
        <v>4.9999999999999998E-8</v>
      </c>
    </row>
    <row r="26" spans="1:5">
      <c r="A26" s="4">
        <v>2.4</v>
      </c>
      <c r="B26" s="2">
        <v>100000000</v>
      </c>
      <c r="C26" s="3">
        <v>99</v>
      </c>
      <c r="D26" s="3">
        <v>1</v>
      </c>
      <c r="E26" s="6">
        <v>4.9999999999999998E-8</v>
      </c>
    </row>
    <row r="27" spans="1:5">
      <c r="A27" s="4">
        <v>2.5</v>
      </c>
      <c r="B27" s="2">
        <v>100000000</v>
      </c>
      <c r="C27" s="3">
        <v>47</v>
      </c>
      <c r="D27" s="3">
        <v>0</v>
      </c>
      <c r="E27" s="6">
        <v>4.9999999999999998E-8</v>
      </c>
    </row>
    <row r="28" spans="1:5">
      <c r="A28" s="4">
        <v>2.6</v>
      </c>
      <c r="B28" s="2">
        <v>100000000</v>
      </c>
      <c r="C28" s="3">
        <v>28</v>
      </c>
      <c r="D28" s="3">
        <v>0</v>
      </c>
      <c r="E28" s="6">
        <v>4.9999999999999998E-8</v>
      </c>
    </row>
    <row r="29" spans="1:5">
      <c r="A29" s="4">
        <v>2.7</v>
      </c>
      <c r="B29" s="2">
        <v>100000000</v>
      </c>
      <c r="C29" s="3">
        <v>20</v>
      </c>
      <c r="D29" s="3">
        <v>0</v>
      </c>
      <c r="E29" s="6">
        <v>4.9999999999999998E-8</v>
      </c>
    </row>
    <row r="30" spans="1:5">
      <c r="A30" s="4">
        <v>2.8</v>
      </c>
      <c r="B30" s="2">
        <v>100000000</v>
      </c>
      <c r="C30" s="3">
        <v>13</v>
      </c>
      <c r="D30" s="3">
        <v>0</v>
      </c>
      <c r="E30" s="6">
        <v>4.9999999999999998E-8</v>
      </c>
    </row>
    <row r="31" spans="1:5">
      <c r="A31" s="4">
        <v>2.9</v>
      </c>
      <c r="B31" s="2">
        <v>100000000</v>
      </c>
      <c r="C31" s="3">
        <v>9</v>
      </c>
      <c r="D31" s="3">
        <v>0</v>
      </c>
      <c r="E31" s="6">
        <v>4.9999999999999998E-8</v>
      </c>
    </row>
    <row r="32" spans="1:5">
      <c r="A32" s="4">
        <v>3</v>
      </c>
      <c r="B32" s="2">
        <v>100000000</v>
      </c>
      <c r="C32" s="3">
        <v>0</v>
      </c>
      <c r="D32" s="3">
        <v>0</v>
      </c>
      <c r="E32" s="6">
        <v>4.9999999999999998E-8</v>
      </c>
    </row>
    <row r="33" spans="1:5">
      <c r="A33" s="4">
        <v>4</v>
      </c>
      <c r="B33" s="2">
        <v>100000000</v>
      </c>
      <c r="C33" s="3">
        <v>3</v>
      </c>
      <c r="D33" s="3">
        <v>1</v>
      </c>
      <c r="E33" s="6">
        <v>4.9999999999999998E-8</v>
      </c>
    </row>
    <row r="34" spans="1:5">
      <c r="A34" s="4">
        <v>5</v>
      </c>
      <c r="B34" s="2">
        <v>100000000</v>
      </c>
      <c r="C34" s="3">
        <v>1</v>
      </c>
      <c r="D34" s="3">
        <v>0</v>
      </c>
      <c r="E34" s="6">
        <v>4.9999999999999998E-8</v>
      </c>
    </row>
    <row r="35" spans="1:5">
      <c r="A35" s="4">
        <v>6</v>
      </c>
      <c r="B35" s="2">
        <v>100000000</v>
      </c>
      <c r="C35" s="3">
        <v>1</v>
      </c>
      <c r="D35" s="3">
        <v>1</v>
      </c>
      <c r="E35" s="6">
        <v>4.9999999999999998E-8</v>
      </c>
    </row>
    <row r="36" spans="1:5">
      <c r="A36" s="4">
        <v>7</v>
      </c>
      <c r="B36" s="2">
        <v>100000000</v>
      </c>
      <c r="C36" s="3">
        <v>2</v>
      </c>
      <c r="D36" s="3">
        <v>1</v>
      </c>
      <c r="E36" s="6">
        <v>4.9999999999999998E-8</v>
      </c>
    </row>
    <row r="37" spans="1:5">
      <c r="A37" s="4">
        <v>8</v>
      </c>
      <c r="B37" s="2">
        <v>100000000</v>
      </c>
      <c r="C37" s="3">
        <v>3</v>
      </c>
      <c r="D37" s="3">
        <v>2</v>
      </c>
      <c r="E37" s="6">
        <v>4.9999999999999998E-8</v>
      </c>
    </row>
    <row r="38" spans="1:5">
      <c r="A38" s="4">
        <v>9</v>
      </c>
      <c r="B38" s="2">
        <v>100000000</v>
      </c>
      <c r="C38" s="3">
        <v>3</v>
      </c>
      <c r="D38" s="3">
        <v>0</v>
      </c>
      <c r="E38" s="6">
        <v>4.9999999999999998E-8</v>
      </c>
    </row>
    <row r="39" spans="1:5" ht="16" thickBot="1">
      <c r="A39" s="7">
        <v>10</v>
      </c>
      <c r="B39" s="8">
        <v>100000000</v>
      </c>
      <c r="C39" s="9">
        <v>1</v>
      </c>
      <c r="D39" s="9">
        <v>0</v>
      </c>
      <c r="E39" s="10">
        <v>4.9999999999999998E-8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transmission.csv</vt:lpstr>
      <vt:lpstr>Sheet1</vt:lpstr>
      <vt:lpstr>Tails</vt:lpstr>
    </vt:vector>
  </TitlesOfParts>
  <Company>Fermilab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Prebys</dc:creator>
  <cp:lastModifiedBy>Eric Prebys</cp:lastModifiedBy>
  <dcterms:created xsi:type="dcterms:W3CDTF">2015-04-23T15:22:29Z</dcterms:created>
  <dcterms:modified xsi:type="dcterms:W3CDTF">2015-12-18T17:52:18Z</dcterms:modified>
</cp:coreProperties>
</file>